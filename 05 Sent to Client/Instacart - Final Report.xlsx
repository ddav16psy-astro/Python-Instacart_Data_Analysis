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dirk8\OneDrive\Desktop\CF\IMMERSION\ACH 4 - EXERCISES - INSTACART\EXERCISE 4.10\"/>
    </mc:Choice>
  </mc:AlternateContent>
  <xr:revisionPtr revIDLastSave="0" documentId="13_ncr:1_{3E41EB06-FD94-47E7-9B41-3F0094B9A0E6}" xr6:coauthVersionLast="47" xr6:coauthVersionMax="47" xr10:uidLastSave="{00000000-0000-0000-0000-000000000000}"/>
  <bookViews>
    <workbookView xWindow="-120" yWindow="-16320" windowWidth="29040" windowHeight="1572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1" i="9" l="1"/>
  <c r="F282" i="9"/>
  <c r="F283" i="9"/>
  <c r="F280" i="9"/>
  <c r="B77" i="9"/>
  <c r="L54" i="9" s="1"/>
  <c r="B31" i="9"/>
  <c r="L25" i="9" s="1"/>
  <c r="L61" i="9" l="1"/>
  <c r="L59" i="9"/>
  <c r="L64" i="9"/>
  <c r="L63" i="9"/>
  <c r="L73" i="9"/>
  <c r="L60" i="9"/>
  <c r="L70" i="9"/>
  <c r="L58" i="9"/>
  <c r="L77" i="9"/>
  <c r="L76" i="9"/>
  <c r="L75" i="9"/>
  <c r="L62" i="9"/>
  <c r="L72" i="9"/>
  <c r="L71" i="9"/>
  <c r="L69" i="9"/>
  <c r="L57" i="9"/>
  <c r="L68" i="9"/>
  <c r="L56" i="9"/>
  <c r="L67" i="9"/>
  <c r="L55" i="9"/>
  <c r="L65" i="9"/>
  <c r="L74" i="9"/>
  <c r="L53" i="9"/>
  <c r="L66" i="9"/>
  <c r="L29" i="9"/>
  <c r="L24" i="9"/>
  <c r="L28" i="9"/>
  <c r="L27" i="9"/>
  <c r="L26" i="9"/>
  <c r="L31" i="9"/>
  <c r="L30" i="9"/>
</calcChain>
</file>

<file path=xl/sharedStrings.xml><?xml version="1.0" encoding="utf-8"?>
<sst xmlns="http://schemas.openxmlformats.org/spreadsheetml/2006/main" count="673" uniqueCount="449">
  <si>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</si>
  <si>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</si>
  <si>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</si>
  <si>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</si>
  <si>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</si>
  <si>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</si>
  <si>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</si>
  <si>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</si>
  <si>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</si>
  <si>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</si>
  <si>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</si>
  <si>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</si>
  <si>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</si>
  <si>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</si>
  <si>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</si>
  <si>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</si>
  <si>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</si>
  <si>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</si>
  <si>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</si>
  <si>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</si>
  <si>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</si>
  <si>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</si>
  <si>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</si>
  <si>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4</t>
  </si>
  <si>
    <t>Key Question 5</t>
  </si>
  <si>
    <t>Conditions</t>
  </si>
  <si>
    <t>Recommendations</t>
  </si>
  <si>
    <t>eval_set from orders df</t>
  </si>
  <si>
    <t>order_dow to orders_day_of_week</t>
  </si>
  <si>
    <t>For clarity.</t>
  </si>
  <si>
    <t>Not needed for the analysis.  On the change, assigned resulting df to df_ords_2 to not overwrite original df.</t>
  </si>
  <si>
    <t>order_id to string</t>
  </si>
  <si>
    <t>user_id to string</t>
  </si>
  <si>
    <t>Not needed in numerical form.  Also as string dtype column will be ignored by .describe() function for descriptive stats.</t>
  </si>
  <si>
    <t>Deleted records; created new subset df</t>
  </si>
  <si>
    <t>product_name: 16</t>
  </si>
  <si>
    <t>days_since_prior_order: 206209</t>
  </si>
  <si>
    <t>5 full duplicates deleted; created new subset df</t>
  </si>
  <si>
    <t>No full duplicates found</t>
  </si>
  <si>
    <t>No changes made; new customer first orders</t>
  </si>
  <si>
    <t>ords_prods_merge</t>
  </si>
  <si>
    <t>price_range_loc</t>
  </si>
  <si>
    <t>prices</t>
  </si>
  <si>
    <t>High-range product: prices &gt; 15; Mid-range: prices &lt;=15 &amp; prices &gt; 5; Low-range: prices &lt;= 5</t>
  </si>
  <si>
    <t>Mid-range product     21860860</t>
  </si>
  <si>
    <t>Low-range product     10126321</t>
  </si>
  <si>
    <t>High-range product      417678</t>
  </si>
  <si>
    <t>Name: count, dtype: int64</t>
  </si>
  <si>
    <t>busiest_day</t>
  </si>
  <si>
    <t>busiest_days</t>
  </si>
  <si>
    <t>busiest_period_of_day</t>
  </si>
  <si>
    <t>orders_day_of_week</t>
  </si>
  <si>
    <t>if 0: Busiest day; if 4: Least busy; else: Regularly busy (catches 1, 2, 3, 5, 6 values)</t>
  </si>
  <si>
    <t>Note on 'orders_day_of_week' column: Saturday = 0, Sunday = 1, Monday = 2, Tuesday = 3, Wednesday = 4, Thursday = 5, Friday = 6.</t>
  </si>
  <si>
    <t>Regularly busy    22416875</t>
  </si>
  <si>
    <t>Busiest day        6204182</t>
  </si>
  <si>
    <t>Least busy         3783802</t>
  </si>
  <si>
    <t>if in [0, 1]: Busiest days; if in [3, 4]: Slowest days; else: Regularly buys (catches 2, 5, 6)</t>
  </si>
  <si>
    <t>0    6204182</t>
  </si>
  <si>
    <t>1    5660230</t>
  </si>
  <si>
    <t>6    4496490</t>
  </si>
  <si>
    <t>2    4213830</t>
  </si>
  <si>
    <t>5    4205791</t>
  </si>
  <si>
    <t>3    3840534</t>
  </si>
  <si>
    <t>4    3783802</t>
  </si>
  <si>
    <t>Regularly busy    12916111</t>
  </si>
  <si>
    <t>Busiest days      11864412</t>
  </si>
  <si>
    <t>Slowest days       7624336</t>
  </si>
  <si>
    <t>Pre-derivation of busiest day(s)-labeled derived variables frequency table for 'orders_day_of_week' column (below) for comparison:</t>
  </si>
  <si>
    <t>order_hour_of_day</t>
  </si>
  <si>
    <t>Most orders: hours 9-17 inclusive; Average: 8 or 18-19 inclusive; Fewest: 0-7 and 20-23 inclusive</t>
  </si>
  <si>
    <t>Most orders       23205725</t>
  </si>
  <si>
    <t>Average orders     4612925</t>
  </si>
  <si>
    <t>Fewest orders      4586209</t>
  </si>
  <si>
    <t>The sales team needs to know what the busiest days of the week and hours of the</t>
  </si>
  <si>
    <t>day are (i.e., the days and times with the most orders) in order to schedule ads at</t>
  </si>
  <si>
    <t>times when there are fewer orders.</t>
  </si>
  <si>
    <t>Order Count</t>
  </si>
  <si>
    <t>Sunday</t>
  </si>
  <si>
    <t>Saturday</t>
  </si>
  <si>
    <t>Friday</t>
  </si>
  <si>
    <t>Monday</t>
  </si>
  <si>
    <t>Thursday</t>
  </si>
  <si>
    <t>Tuesday</t>
  </si>
  <si>
    <t>Wednesday</t>
  </si>
  <si>
    <t>Busiest</t>
  </si>
  <si>
    <t>Average</t>
  </si>
  <si>
    <t>Slowest</t>
  </si>
  <si>
    <t>ID</t>
  </si>
  <si>
    <t>Day of Week</t>
  </si>
  <si>
    <t>Busyness Label</t>
  </si>
  <si>
    <t>Saturdays &amp; Sundays busiest</t>
  </si>
  <si>
    <t>Mondays, Thursdays, Fridays average</t>
  </si>
  <si>
    <t>Tuesdays and Wednesdays slowest</t>
  </si>
  <si>
    <t>7-day average</t>
  </si>
  <si>
    <t>Versus 7-day Avg</t>
  </si>
  <si>
    <t>Order Hour of Day</t>
  </si>
  <si>
    <t>Per-hour average</t>
  </si>
  <si>
    <t>Most orders</t>
  </si>
  <si>
    <t>Average orders</t>
  </si>
  <si>
    <t>Fewest orders</t>
  </si>
  <si>
    <t>9 am to 5 pm have hourly orders</t>
  </si>
  <si>
    <t>over 2 million orders</t>
  </si>
  <si>
    <t>8 am and 6 to 7 pm have hourly</t>
  </si>
  <si>
    <t>orders in the 1 to 2 million orders</t>
  </si>
  <si>
    <t>range</t>
  </si>
  <si>
    <t>8 pm to 7 am (next day) have</t>
  </si>
  <si>
    <t>hourly orders below 1 million</t>
  </si>
  <si>
    <t>* 24-hour military time for Order Hour of Day clock.  Time rounded to hours, not minutes.</t>
  </si>
  <si>
    <t>Deleted 5127 records: 4429 where 'prices' = 14900 for 'Lowfat 2% Milkfat Cottage Cheese' and 698 where 'prices' = 99999 for '2 % Reduced Fat  Milk'</t>
  </si>
  <si>
    <t>Note: busiest_days derived column was subsequently deleted as not needed</t>
  </si>
  <si>
    <t>max_order</t>
  </si>
  <si>
    <t>user_id, order_number</t>
  </si>
  <si>
    <t>Grouped by user_id, then calculates maximum value for order_number</t>
  </si>
  <si>
    <t>loyalty_flag</t>
  </si>
  <si>
    <t>Loyal customer: &gt; 40; Regular customer: &gt; 10 and &lt;= 40; New customer: &lt;= 10</t>
  </si>
  <si>
    <t>Regular customer    15876776</t>
  </si>
  <si>
    <t>Loyal customer      10284093</t>
  </si>
  <si>
    <t>New customer         6243990</t>
  </si>
  <si>
    <t>mean_price_per_order</t>
  </si>
  <si>
    <t>user_id, prices</t>
  </si>
  <si>
    <t>Grouped by user_id, then calculates average price for prices</t>
  </si>
  <si>
    <t>spending_flag</t>
  </si>
  <si>
    <t>High spender: &gt;=10; Low spender:&lt;10</t>
  </si>
  <si>
    <t>Low spender     32280013</t>
  </si>
  <si>
    <t>High spender      119719</t>
  </si>
  <si>
    <t>median_days_since_prior_order</t>
  </si>
  <si>
    <t>user_id, days_since_prior_order</t>
  </si>
  <si>
    <t>Grouped by user_id, then calculates median of days_since_prior_order</t>
  </si>
  <si>
    <t>order_frequency_flag</t>
  </si>
  <si>
    <t>Frequent customer: &lt;= 10; Regular customer: &gt;10 and &lt;=20; Non-frequent customer:&gt;20</t>
  </si>
  <si>
    <t>Frequent customer        21556644</t>
  </si>
  <si>
    <t>Regular customer          7207340</t>
  </si>
  <si>
    <t>Non-frequent customer     3635743</t>
  </si>
  <si>
    <t>They also want to know whether there are particular times of the day when people</t>
  </si>
  <si>
    <t>spend the most money, as this might inform the type of products they advertise at</t>
  </si>
  <si>
    <t>these times.</t>
  </si>
  <si>
    <t>department_id</t>
  </si>
  <si>
    <t>department</t>
  </si>
  <si>
    <t>frozen</t>
  </si>
  <si>
    <t>other</t>
  </si>
  <si>
    <t>bakery</t>
  </si>
  <si>
    <t>produce</t>
  </si>
  <si>
    <t>alcohol</t>
  </si>
  <si>
    <t>international</t>
  </si>
  <si>
    <t>beverages</t>
  </si>
  <si>
    <t>pets</t>
  </si>
  <si>
    <t>dry goods pasta</t>
  </si>
  <si>
    <t>bulk</t>
  </si>
  <si>
    <t>personal care</t>
  </si>
  <si>
    <t>meat seafood</t>
  </si>
  <si>
    <t>pantry</t>
  </si>
  <si>
    <t>breakfast</t>
  </si>
  <si>
    <t>canned goods</t>
  </si>
  <si>
    <t>dairy eggs</t>
  </si>
  <si>
    <t>household</t>
  </si>
  <si>
    <t>babies</t>
  </si>
  <si>
    <t>snacks</t>
  </si>
  <si>
    <t>deli</t>
  </si>
  <si>
    <t>missing</t>
  </si>
  <si>
    <t>Total Spent</t>
  </si>
  <si>
    <t>Rank</t>
  </si>
  <si>
    <t>8 am - 5 pm daytime hours saw the greatest</t>
  </si>
  <si>
    <t>total monies spent.</t>
  </si>
  <si>
    <t>Reference table of department_id mapped to department names</t>
  </si>
  <si>
    <t>First Name to first_name</t>
  </si>
  <si>
    <t>Surnam to last_name</t>
  </si>
  <si>
    <t>STATE to state_name</t>
  </si>
  <si>
    <t>Gender to gender; Age to age</t>
  </si>
  <si>
    <t>n_dependants to number_dependents</t>
  </si>
  <si>
    <t>Clarity, need lower case and no space between words, use underscore</t>
  </si>
  <si>
    <t>Same reason</t>
  </si>
  <si>
    <t>Need lower case</t>
  </si>
  <si>
    <t>Clarity, need lower case</t>
  </si>
  <si>
    <t>Clarity</t>
  </si>
  <si>
    <t>To match customers df datatype for the key identifier, user_id, to same datatype in ords_prods_merge df for a planned merge</t>
  </si>
  <si>
    <t>first_name to string</t>
  </si>
  <si>
    <t>last_name to string</t>
  </si>
  <si>
    <t>gender to string</t>
  </si>
  <si>
    <t>state_name to string</t>
  </si>
  <si>
    <t>married_status to string</t>
  </si>
  <si>
    <t>date_joined to datetime</t>
  </si>
  <si>
    <t>datetime datatype allows date manipulations and is more efficient than storing dates as objects in python</t>
  </si>
  <si>
    <t>Storage efficiency, ensure column is ignored in descriptive stats called via the  .describe() method applied to a dataframe</t>
  </si>
  <si>
    <t>fam_status to family_status</t>
  </si>
  <si>
    <t>ANSWER</t>
  </si>
  <si>
    <t>Sun</t>
  </si>
  <si>
    <t>Sat</t>
  </si>
  <si>
    <t>Fri</t>
  </si>
  <si>
    <t>Mon</t>
  </si>
  <si>
    <t>Thu</t>
  </si>
  <si>
    <t>Tue</t>
  </si>
  <si>
    <t>Wed</t>
  </si>
  <si>
    <t>Count (millions)</t>
  </si>
  <si>
    <t>Histogram of Order Frequency per Day of Week</t>
  </si>
  <si>
    <t>(millions)</t>
  </si>
  <si>
    <t xml:space="preserve">Key Question 3 </t>
  </si>
  <si>
    <t>Instacart has a lot of products with different price tags. Marketing and sales want to</t>
  </si>
  <si>
    <t>use simpler price range groupings to help direct their efforts.</t>
  </si>
  <si>
    <t>Orders (millions)</t>
  </si>
  <si>
    <t>Histogram of Orders per Product Price</t>
  </si>
  <si>
    <t>Product Price</t>
  </si>
  <si>
    <t>mean</t>
  </si>
  <si>
    <t>min</t>
  </si>
  <si>
    <t>max</t>
  </si>
  <si>
    <t>Number of orders (ten millions)</t>
  </si>
  <si>
    <t>Product demand all but disappears above the $15 price point.</t>
  </si>
  <si>
    <t>Grouping</t>
  </si>
  <si>
    <t>High Price Range</t>
  </si>
  <si>
    <t>Mid Price Range</t>
  </si>
  <si>
    <t>Low Price Range</t>
  </si>
  <si>
    <t>Inclusion Criteria</t>
  </si>
  <si>
    <t>$5 &lt; Product Price &lt;= $15</t>
  </si>
  <si>
    <t>Product Price &lt;= $5</t>
  </si>
  <si>
    <t>Product Price &gt; $15</t>
  </si>
  <si>
    <t>Are there certain types of products that are more popular than others? The marketing</t>
  </si>
  <si>
    <t>and sales teams want to know which departments have the highest frequency of</t>
  </si>
  <si>
    <t>product orders.</t>
  </si>
  <si>
    <t>Dept</t>
  </si>
  <si>
    <t xml:space="preserve"> missing</t>
  </si>
  <si>
    <t xml:space="preserve"> bulk</t>
  </si>
  <si>
    <t xml:space="preserve"> babies</t>
  </si>
  <si>
    <t xml:space="preserve"> produce</t>
  </si>
  <si>
    <t xml:space="preserve"> dairy eggs</t>
  </si>
  <si>
    <t xml:space="preserve"> other</t>
  </si>
  <si>
    <t xml:space="preserve"> beverages</t>
  </si>
  <si>
    <t xml:space="preserve"> snacks</t>
  </si>
  <si>
    <t xml:space="preserve"> bakery</t>
  </si>
  <si>
    <t xml:space="preserve"> breakfast</t>
  </si>
  <si>
    <t xml:space="preserve"> pantry</t>
  </si>
  <si>
    <t xml:space="preserve"> deli</t>
  </si>
  <si>
    <t xml:space="preserve"> international</t>
  </si>
  <si>
    <t xml:space="preserve"> personal care</t>
  </si>
  <si>
    <t xml:space="preserve"> canned goods</t>
  </si>
  <si>
    <t xml:space="preserve"> dry goods pasta</t>
  </si>
  <si>
    <t xml:space="preserve"> meat seafood</t>
  </si>
  <si>
    <t xml:space="preserve"> household</t>
  </si>
  <si>
    <t xml:space="preserve"> frozen</t>
  </si>
  <si>
    <t xml:space="preserve"> pets</t>
  </si>
  <si>
    <t xml:space="preserve"> alcohol</t>
  </si>
  <si>
    <t xml:space="preserve"> Department</t>
  </si>
  <si>
    <t>The produce department and dairy &amp; eggs department have</t>
  </si>
  <si>
    <t>the highest frequencies of product orders.</t>
  </si>
  <si>
    <t>If we look at a separate metric, total monies spent, we also</t>
  </si>
  <si>
    <t>see the produce and dairy &amp; eggs departments as leaders.</t>
  </si>
  <si>
    <t>ELABORATION</t>
  </si>
  <si>
    <t>The marketing and sales teams are particularly interested in the different types of</t>
  </si>
  <si>
    <t>customers in their system and how their ordering behaviors differ. For example:</t>
  </si>
  <si>
    <t>often do they return to Instacart)?</t>
  </si>
  <si>
    <t xml:space="preserve"> Frequent customer</t>
  </si>
  <si>
    <t xml:space="preserve"> Regular customer</t>
  </si>
  <si>
    <t xml:space="preserve"> Non-frequent customer</t>
  </si>
  <si>
    <t xml:space="preserve"> Customer Category</t>
  </si>
  <si>
    <t>Has a median &lt;= 10 days since prior order</t>
  </si>
  <si>
    <t>Has a Median &gt; 10 days and &lt;= 20 days since prior order</t>
  </si>
  <si>
    <t>Has a Median &gt; 20 days since prior order</t>
  </si>
  <si>
    <t xml:space="preserve"> Loyalty Status</t>
  </si>
  <si>
    <t xml:space="preserve"> Loyal customer</t>
  </si>
  <si>
    <t xml:space="preserve"> New customer</t>
  </si>
  <si>
    <t>Past maximum order size of new customers is up to 10 orders</t>
  </si>
  <si>
    <t>Past maximum order size of regulars falls between 10 and 40 orders</t>
  </si>
  <si>
    <t>Past maximum order size of loyal customers exceed 40 orders</t>
  </si>
  <si>
    <t>Histogram of Order Frequency by Customer Loyalty Category</t>
  </si>
  <si>
    <t>Citations:</t>
  </si>
  <si>
    <t>Customer data and product prices are fictitious, created to enable the data analysis for a student project.</t>
  </si>
  <si>
    <t>region</t>
  </si>
  <si>
    <t>Midwest</t>
  </si>
  <si>
    <t>Northeast</t>
  </si>
  <si>
    <t>South</t>
  </si>
  <si>
    <t>West</t>
  </si>
  <si>
    <t>Region</t>
  </si>
  <si>
    <t>High</t>
  </si>
  <si>
    <t>Spender</t>
  </si>
  <si>
    <t>Low</t>
  </si>
  <si>
    <t>Proportion</t>
  </si>
  <si>
    <t>High Spender</t>
  </si>
  <si>
    <t>Comment</t>
  </si>
  <si>
    <t>High spenders defined as customers whose average</t>
  </si>
  <si>
    <t>price per order &gt;= $10.</t>
  </si>
  <si>
    <t>Low spenders &lt; $10.</t>
  </si>
  <si>
    <t>Left-side 2 columns measure order count (frequency).</t>
  </si>
  <si>
    <t>ords_prods_cust</t>
  </si>
  <si>
    <t>state_name</t>
  </si>
  <si>
    <t>4 regions created: Northeast, South, Midwest, West, one of which mapped to each state</t>
  </si>
  <si>
    <t>Deleted 1440045 records where 'max_order' &lt; 5, as per Instacart CFO request to exclude low-activity customers from the data</t>
  </si>
  <si>
    <t>divorced/widowed</t>
  </si>
  <si>
    <t>living with parents and siblings</t>
  </si>
  <si>
    <t>married</t>
  </si>
  <si>
    <t>single</t>
  </si>
  <si>
    <t>Banana</t>
  </si>
  <si>
    <t>Bag of Organic Bananas</t>
  </si>
  <si>
    <t>Organic Strawberries</t>
  </si>
  <si>
    <t>Organic Baby Spinach</t>
  </si>
  <si>
    <t>Large Lemon</t>
  </si>
  <si>
    <t>Limes</t>
  </si>
  <si>
    <t>Organic Whole Milk</t>
  </si>
  <si>
    <t>("Total Spent" is measured across time.)</t>
  </si>
  <si>
    <t>Some department rankings shifted based on this metric,</t>
  </si>
  <si>
    <t>compared to the order frequency metric, but not the top 2</t>
  </si>
  <si>
    <t>rankings for produce and dairy &amp; eggs.</t>
  </si>
  <si>
    <t>Cucumber Kirby</t>
  </si>
  <si>
    <t>Apple Honeycrisp Organic</t>
  </si>
  <si>
    <t>Organic Cucumber</t>
  </si>
  <si>
    <t>Family Status</t>
  </si>
  <si>
    <t xml:space="preserve">Order </t>
  </si>
  <si>
    <t>Price</t>
  </si>
  <si>
    <t>Median Days</t>
  </si>
  <si>
    <t>since prior</t>
  </si>
  <si>
    <t>Order</t>
  </si>
  <si>
    <t xml:space="preserve">  %</t>
  </si>
  <si>
    <t>Customer</t>
  </si>
  <si>
    <t>Count</t>
  </si>
  <si>
    <t xml:space="preserve">   %</t>
  </si>
  <si>
    <t>Family status has little bearing on ordering habits for the Instacart dataset.</t>
  </si>
  <si>
    <t>Assumption:  Ordering "motivation" is based on number of mouths to feed, while "ability" is based on income level.</t>
  </si>
  <si>
    <t xml:space="preserve">Lower Income ("LI") &lt; $125,000       </t>
  </si>
  <si>
    <t>Higher Income ("HI") &gt;= $125,000</t>
  </si>
  <si>
    <t>No Dependents ("ND") = 0</t>
  </si>
  <si>
    <t xml:space="preserve">Dependents ("D") &gt;= 1      </t>
  </si>
  <si>
    <t>Profiling Category</t>
  </si>
  <si>
    <t>Higher Income - Dependents ("HI-D")</t>
  </si>
  <si>
    <t>Higher Income - No Dependents ("HI-ND")</t>
  </si>
  <si>
    <t>Lower Income - Dependents ("LI-D")</t>
  </si>
  <si>
    <t>Lower Income - No Dependents ("LI-ND")</t>
  </si>
  <si>
    <t>Customer Profile Set 1:  Income &amp; Number of Dependents</t>
  </si>
  <si>
    <t>Customer Count</t>
  </si>
  <si>
    <t>Customer Profile Set 2:  Age &amp; Number of Dependents</t>
  </si>
  <si>
    <t>Assumption:  Ordering "motivation" is based on number of mouths to feed, while "age" may have some bearing.</t>
  </si>
  <si>
    <t xml:space="preserve">Mid &amp; Older Age ("MO") &gt;= 42 years       </t>
  </si>
  <si>
    <t>Under Mid Age ("MU") &lt; 42 years</t>
  </si>
  <si>
    <t xml:space="preserve">                        large jump in income at that age, in the Instacart dataset.</t>
  </si>
  <si>
    <t xml:space="preserve">                        42 years of age chosen as the over/under inflection point based on a scatterplot that showed a</t>
  </si>
  <si>
    <t>Mid &amp; Older Age - Dependents ("MO-D")</t>
  </si>
  <si>
    <t>Mid &amp; Older Age - No Dependents ("MO-ND")</t>
  </si>
  <si>
    <t>Under Mid Age - Dependents ("MU-D")</t>
  </si>
  <si>
    <t>Under Mid Age - No Dependents ("MU-ND")</t>
  </si>
  <si>
    <t>median</t>
  </si>
  <si>
    <t>cust_prof_1</t>
  </si>
  <si>
    <t>USAGE FREQUENCY</t>
  </si>
  <si>
    <t>(Days Since Prior Order)</t>
  </si>
  <si>
    <t>EXPENDITURE</t>
  </si>
  <si>
    <t>cust_prof_2</t>
  </si>
  <si>
    <t>expenditure</t>
  </si>
  <si>
    <t>(Total Spent per Order Basket)</t>
  </si>
  <si>
    <t>(across Regions, per Order Basket)</t>
  </si>
  <si>
    <t>Female</t>
  </si>
  <si>
    <t>Male</t>
  </si>
  <si>
    <t>Gender</t>
  </si>
  <si>
    <t>Average Spent</t>
  </si>
  <si>
    <t>per Order Basket</t>
  </si>
  <si>
    <t>Days since</t>
  </si>
  <si>
    <t>prior Order</t>
  </si>
  <si>
    <t>Product Name</t>
  </si>
  <si>
    <t>Total Expenditure</t>
  </si>
  <si>
    <t>over Time</t>
  </si>
  <si>
    <t xml:space="preserve">A background finding via the scatterplot (above) shows a large jump in income from the early 40s </t>
  </si>
  <si>
    <t>Meanwhile, there is no apparent connection between age and number of dependents</t>
  </si>
  <si>
    <t>Question 1</t>
  </si>
  <si>
    <t>(See Recommendations tab)</t>
  </si>
  <si>
    <t>Question 2</t>
  </si>
  <si>
    <t>Question 3</t>
  </si>
  <si>
    <t>Question 5.2</t>
  </si>
  <si>
    <t>Question 5.5</t>
  </si>
  <si>
    <t>Question 5.6</t>
  </si>
  <si>
    <t>income, number_dependents</t>
  </si>
  <si>
    <t>age, number_dependents</t>
  </si>
  <si>
    <t>High Income ("HI") &gt;= 125000; Low Income ("LI") &lt; 125000; No Dependents = 0; Dependents &gt;= 1</t>
  </si>
  <si>
    <t>Mid &amp; Older &gt;= 42 years; Under Mid &lt; 42; No Dependents = 0; Dependents &gt;=1</t>
  </si>
  <si>
    <t>Grouped by user_id, and order_number, then sums prices</t>
  </si>
  <si>
    <r>
      <t>“The Instacart Online Grocery Shopping Dataset 2017”, Accessed from </t>
    </r>
    <r>
      <rPr>
        <sz val="14"/>
        <color rgb="FF1C7488"/>
        <rFont val="Trade Gothic Next W01"/>
      </rPr>
      <t>www.instacart.com/datasets/grocery-shopping-2017</t>
    </r>
    <r>
      <rPr>
        <sz val="14"/>
        <color rgb="FF223C50"/>
        <rFont val="TradeGothicNextW01-Ligh 693250"/>
      </rPr>
      <t> via </t>
    </r>
    <r>
      <rPr>
        <sz val="14"/>
        <color rgb="FF1C7488"/>
        <rFont val="Trade Gothic Next W01"/>
      </rPr>
      <t>Kaggle</t>
    </r>
    <r>
      <rPr>
        <sz val="14"/>
        <color rgb="FF223C50"/>
        <rFont val="TradeGothicNextW01-Ligh 693250"/>
      </rPr>
      <t> on 3/21/2025.</t>
    </r>
  </si>
  <si>
    <t>Answer</t>
  </si>
  <si>
    <t>Saturdays and Sundays are the busiest days of the week, measured by aggregate order quantity.</t>
  </si>
  <si>
    <t xml:space="preserve">Recommendation  </t>
  </si>
  <si>
    <t>If advertising is targeted to slower periods that have less order volume, then Tuesdays and</t>
  </si>
  <si>
    <t xml:space="preserve">By the same metric, 9 am - 5 pm is the busiest time of day.  Tuesdays and Wednesdays are </t>
  </si>
  <si>
    <t>the slowest days.</t>
  </si>
  <si>
    <t>Wednesdays outside of the 9 am to 5 pm peak hours may see attractive ad spend ROI.</t>
  </si>
  <si>
    <t xml:space="preserve">Advertise the relevant products during the 8 am - 5 pm  peak sales hours, since this is when </t>
  </si>
  <si>
    <t>people are engaged and spend the most money.</t>
  </si>
  <si>
    <t>The 8 am - 5 pm time bucket sees peak expenditures each day.</t>
  </si>
  <si>
    <t>Use the simpler price range groupings as below:</t>
  </si>
  <si>
    <t>Produce and Dairy &amp; Eggs have the highest frequency of product orders.  The leadership</t>
  </si>
  <si>
    <t>position of these two (2) departments also carries over to a separate metric, total monies</t>
  </si>
  <si>
    <t>spent over the data time period (190 days).</t>
  </si>
  <si>
    <t>What is the distribution among users in regards to their brand loyalty (i.e., how</t>
  </si>
  <si>
    <t>Frequent customers typically return within 10 days, regulars between 10 and 20 days, and</t>
  </si>
  <si>
    <t>regulars and non-frequents.</t>
  </si>
  <si>
    <t>non-frequents over 20 days. Frequent customers have the largest order count, followed by</t>
  </si>
  <si>
    <t>Are there differences in ordering habits based on a customer's loyalty status?</t>
  </si>
  <si>
    <t>Largest order size of loyal customers historically exceeded 40 orders, for regular customers it</t>
  </si>
  <si>
    <t>the largest order count, followed by loyal customers and in last place, new customers.</t>
  </si>
  <si>
    <t>ranged from 10 to 40 orders, and for new customers up to 10 orders.  Regular customers have</t>
  </si>
  <si>
    <t>Are there differences in ordering habits based on a customer's region?</t>
  </si>
  <si>
    <t>Midwest, South and West have a slightly higher proportion of high spenders than the Northeast.</t>
  </si>
  <si>
    <t>Based on "High Spender" order count proportion of total order count within a region, the</t>
  </si>
  <si>
    <t>However, the differences are negligible since "High Spender" orders make up a tiny (less than</t>
  </si>
  <si>
    <t xml:space="preserve">0.5%) proportion of all orders.  </t>
  </si>
  <si>
    <t>Reducing the $10 threshold for average order price, that divides High versus Low Spenders,</t>
  </si>
  <si>
    <t>would cause the High Spender proportion to climb in all regions, but is not expected to add</t>
  </si>
  <si>
    <t>value to the analysis in terms of differentiating ordering habits amongst regions.</t>
  </si>
  <si>
    <t>Is there a connection between age and family status in terms of ordering habits?</t>
  </si>
  <si>
    <t>See "Customer Profile Set 2" further below to determine whether "Age" (a component of the</t>
  </si>
  <si>
    <t>profiling variable) influences ordering habits.</t>
  </si>
  <si>
    <t>What different classifications does the demographic information suggest?</t>
  </si>
  <si>
    <t>Age? Income? Certain types of goods? Family status?</t>
  </si>
  <si>
    <t>While there are many possible customer profiling skews, we examine two (2) here.</t>
  </si>
  <si>
    <t>The first profile uses Income and Number of Dependents. Variable selection is based on the</t>
  </si>
  <si>
    <t>assumption that ordering "motivation" is driven by number of mouths to feed, while "ability"</t>
  </si>
  <si>
    <t>is predicated on income level.</t>
  </si>
  <si>
    <t>The second profile uses Age and Number of Dependents. Variable selection is based on the</t>
  </si>
  <si>
    <t>assumption that ordering "motivation" is driven by number of mouths to feed, while age</t>
  </si>
  <si>
    <t>may have some bearing.</t>
  </si>
  <si>
    <t>What differences can you find in ordering habits of different customer profiles?</t>
  </si>
  <si>
    <t>Consider the price of orders, the frequency of orders, the products customers are</t>
  </si>
  <si>
    <t>ordering, and anything else you can think of.</t>
  </si>
  <si>
    <t>Customer Profile Set 1: Income and Number of Dependents</t>
  </si>
  <si>
    <t>There are small differences (~ 5%) in the median Total Spent per Order Basket for both higher</t>
  </si>
  <si>
    <t xml:space="preserve">income versus both lower income category groups in "Customer Profile Set 1".  The mean values </t>
  </si>
  <si>
    <t>are higher than the median values, suggesting right-skewed distributions, so we use median</t>
  </si>
  <si>
    <t>values as more representative of the dataset.  Dependents status within each of those groups</t>
  </si>
  <si>
    <t>did not reveal any differences.  When we look at regional skew for Total Spent per Order Basket,</t>
  </si>
  <si>
    <t xml:space="preserve">the highest average spend at $129 per Order Basket is for the "Higher Income - Dependents" </t>
  </si>
  <si>
    <t>group in the Northeast region, while the lowest figure at $119 pertains to the "Lower Income -</t>
  </si>
  <si>
    <t>No Dependents" group in the Northeast and West regions, an 8% (rounded) modest differential.</t>
  </si>
  <si>
    <t xml:space="preserve">When we look at a department skew for average Total Spent per Order Basket, surprisingly the </t>
  </si>
  <si>
    <t>Babies department has the highest spend at over $150, while the "Alcohol" department has the</t>
  </si>
  <si>
    <t>lowest figure at $75-80.  The "Lower Income - No Dependents" group unexpectedly has the</t>
  </si>
  <si>
    <t>highest average spend of the 4 groups in the "Babies" department, perhaps signalling</t>
  </si>
  <si>
    <t>grandparents buying gifts for infant grandchildren.</t>
  </si>
  <si>
    <t>Customer Profile Set 2: Age and Number of Dependents</t>
  </si>
  <si>
    <t>For this profile set, which focuses on Age - Dependents Status customer groupings, while we</t>
  </si>
  <si>
    <t>have a similar right-skewed distribution for Total Spent per Order Basket as with the</t>
  </si>
  <si>
    <t>"Customer Profile Set 1" groupings, there is very little difference in the median values.</t>
  </si>
  <si>
    <t>Meanwhile, on the regional skew, there is a tighter bunching (~5% max differential between</t>
  </si>
  <si>
    <t>the lowest and highest values for average Total Spent per Order Basket) compared to the</t>
  </si>
  <si>
    <t>"Customer Profile Set 1" groupings.</t>
  </si>
  <si>
    <t>For the department skew, we see the same "Babies" (at the top) versus "Alcohol" (at rock bottom,</t>
  </si>
  <si>
    <t>pardon the pun) departments dichotomy as compared to the "Customer Profile Set 1" groupings,</t>
  </si>
  <si>
    <t>on the average Total Spent per Order Basket metric.</t>
  </si>
  <si>
    <t>appears to have greater -- albeit modest -- impact on product ordering behavior in the Instacart</t>
  </si>
  <si>
    <t>Overall, income level ("ability") rather than number of dependents ("motivation") or age</t>
  </si>
  <si>
    <t>customer dataset.  Marketing spend should include income-based customer classifications</t>
  </si>
  <si>
    <t>in its decisioning variable(s).</t>
  </si>
  <si>
    <t>Extra question</t>
  </si>
  <si>
    <t>Are there gender-based differences in ordering behavior?</t>
  </si>
  <si>
    <t>No.</t>
  </si>
  <si>
    <t>What are the top-selling products over time?  Any surprises?</t>
  </si>
  <si>
    <t>No surprises, as nine of the Top 10 products are Produce department items while one of these</t>
  </si>
  <si>
    <t>is a Dairy &amp; Eggs department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</si>
</sst>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0"/>
    <numFmt numFmtId="167" formatCode="0.0"/>
    <numFmt numFmtId="168" formatCode="0.0%"/>
  </numFmts>
  <fonts count="28">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11"/>
      <color theme="1"/>
      <name val="Calibri"/>
      <family val="2"/>
      <scheme val="minor"/>
    </font>
    <font>
      <sz val="8"/>
      <color theme="1"/>
      <name val="Calibri"/>
      <family val="2"/>
      <scheme val="minor"/>
    </font>
    <font>
      <sz val="12"/>
      <color theme="1"/>
      <name val="Calibri"/>
      <family val="2"/>
      <scheme val="minor"/>
    </font>
    <font>
      <b/>
      <sz val="11"/>
      <color theme="1"/>
      <name val="Calibri"/>
      <family val="2"/>
      <scheme val="minor"/>
    </font>
    <font>
      <i/>
      <sz val="12"/>
      <color theme="1"/>
      <name val="Calibri"/>
      <family val="2"/>
      <scheme val="minor"/>
    </font>
    <font>
      <sz val="8"/>
      <name val="Calibri"/>
      <family val="2"/>
      <scheme val="minor"/>
    </font>
    <font>
      <b/>
      <i/>
      <sz val="12"/>
      <color theme="1"/>
      <name val="Calibri"/>
      <family val="2"/>
      <scheme val="minor"/>
    </font>
    <font>
      <b/>
      <sz val="12"/>
      <color theme="1"/>
      <name val="Calibri"/>
      <family val="2"/>
      <scheme val="minor"/>
    </font>
    <font>
      <b/>
      <sz val="11"/>
      <color theme="1"/>
      <name val="Segoe UI"/>
      <family val="2"/>
    </font>
    <font>
      <sz val="11"/>
      <color theme="1"/>
      <name val="Segoe UI"/>
      <family val="2"/>
    </font>
    <font>
      <b/>
      <sz val="14"/>
      <color theme="1"/>
      <name val="Calibri"/>
      <family val="2"/>
      <scheme val="minor"/>
    </font>
    <font>
      <b/>
      <sz val="8"/>
      <color theme="1"/>
      <name val="Segoe UI"/>
      <family val="2"/>
    </font>
    <font>
      <sz val="11"/>
      <color rgb="FF0E1633"/>
      <name val="TradeGothicNextW01-Ligh 693250"/>
    </font>
    <font>
      <sz val="11"/>
      <color rgb="FF223C50"/>
      <name val="TradeGothicNextW01-Ligh 693250"/>
    </font>
    <font>
      <i/>
      <sz val="11"/>
      <color theme="1"/>
      <name val="Segoe UI"/>
      <family val="2"/>
    </font>
    <font>
      <sz val="11"/>
      <color theme="1"/>
      <name val="Calibri"/>
      <family val="2"/>
    </font>
    <font>
      <i/>
      <sz val="11"/>
      <color theme="1"/>
      <name val="Calibri"/>
      <family val="2"/>
      <scheme val="minor"/>
    </font>
    <font>
      <sz val="10"/>
      <color theme="1"/>
      <name val="Segoe UI"/>
      <family val="2"/>
    </font>
    <font>
      <sz val="8"/>
      <color theme="1"/>
      <name val="Segoe UI"/>
      <family val="2"/>
    </font>
    <font>
      <sz val="14"/>
      <color theme="1"/>
      <name val="Calibri"/>
      <family val="2"/>
      <scheme val="minor"/>
    </font>
    <font>
      <sz val="14"/>
      <color rgb="FF223C50"/>
      <name val="TradeGothicNextW01-Ligh 693250"/>
    </font>
    <font>
      <sz val="14"/>
      <color rgb="FF1C7488"/>
      <name val="Trade Gothic Next W01"/>
    </font>
  </fonts>
  <fills count="12">
    <fill>
      <patternFill patternType="none"/>
    </fill>
    <fill>
      <patternFill patternType="gray125"/>
    </fill>
    <fill>
      <patternFill patternType="solid">
        <fgColor theme="9" tint="0.59999389629810485"/>
        <bgColor indexed="64"/>
      </patternFill>
    </fill>
    <fill>
      <patternFill patternType="solid">
        <fgColor rgb="FFCCFF99"/>
        <bgColor indexed="64"/>
      </patternFill>
    </fill>
    <fill>
      <patternFill patternType="solid">
        <fgColor rgb="FFFBE1FF"/>
        <bgColor indexed="64"/>
      </patternFill>
    </fill>
    <fill>
      <patternFill patternType="solid">
        <fgColor rgb="FFCCFFFF"/>
        <bgColor indexed="64"/>
      </patternFill>
    </fill>
    <fill>
      <patternFill patternType="solid">
        <fgColor theme="7" tint="0.79998168889431442"/>
        <bgColor indexed="64"/>
      </patternFill>
    </fill>
    <fill>
      <patternFill patternType="solid">
        <fgColor rgb="FFFFFFCC"/>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38">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187">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9" xfId="0" quotePrefix="1" applyBorder="1"/>
    <xf numFmtId="0" fontId="0" fillId="0" borderId="20" xfId="0" applyBorder="1"/>
    <xf numFmtId="0" fontId="0" fillId="0" borderId="21" xfId="0" applyBorder="1"/>
    <xf numFmtId="0" fontId="0" fillId="0" borderId="22" xfId="0" applyBorder="1"/>
    <xf numFmtId="0" fontId="0" fillId="0" borderId="24" xfId="0" applyBorder="1"/>
    <xf numFmtId="0" fontId="0" fillId="0" borderId="23" xfId="0" applyBorder="1"/>
    <xf numFmtId="0" fontId="0" fillId="0" borderId="25" xfId="0" applyBorder="1"/>
    <xf numFmtId="0" fontId="0" fillId="0" borderId="1" xfId="0" quotePrefix="1" applyBorder="1"/>
    <xf numFmtId="0" fontId="0" fillId="0" borderId="26" xfId="0" applyBorder="1"/>
    <xf numFmtId="0" fontId="0" fillId="0" borderId="27" xfId="0" applyBorder="1"/>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xf numFmtId="0" fontId="9" fillId="0" borderId="0" xfId="0" applyFont="1"/>
    <xf numFmtId="0" fontId="0" fillId="0" borderId="0" xfId="0" applyAlignment="1">
      <alignment horizontal="left"/>
    </xf>
    <xf numFmtId="49" fontId="8" fillId="0" borderId="0" xfId="0" applyNumberFormat="1" applyFont="1" applyAlignment="1">
      <alignment horizontal="center"/>
    </xf>
    <xf numFmtId="0" fontId="8" fillId="0" borderId="0" xfId="0" applyFont="1" applyAlignment="1">
      <alignment horizontal="left"/>
    </xf>
    <xf numFmtId="0" fontId="8" fillId="0" borderId="0" xfId="0" applyFont="1" applyAlignment="1">
      <alignment horizontal="right"/>
    </xf>
    <xf numFmtId="0" fontId="10" fillId="0" borderId="0" xfId="0" applyFont="1" applyAlignment="1">
      <alignment horizontal="center"/>
    </xf>
    <xf numFmtId="0" fontId="10" fillId="0" borderId="0" xfId="0" applyFont="1"/>
    <xf numFmtId="0" fontId="12" fillId="0" borderId="0" xfId="0" applyFont="1"/>
    <xf numFmtId="0" fontId="13" fillId="0" borderId="0" xfId="0" applyFont="1"/>
    <xf numFmtId="0" fontId="8" fillId="3" borderId="0" xfId="0" applyFont="1" applyFill="1"/>
    <xf numFmtId="0" fontId="13" fillId="3" borderId="0" xfId="0" applyFont="1" applyFill="1"/>
    <xf numFmtId="0" fontId="8" fillId="5" borderId="0" xfId="0" applyFont="1" applyFill="1"/>
    <xf numFmtId="0" fontId="13" fillId="5" borderId="0" xfId="0" applyFont="1" applyFill="1"/>
    <xf numFmtId="0" fontId="8" fillId="4" borderId="0" xfId="0" applyFont="1" applyFill="1"/>
    <xf numFmtId="0" fontId="13" fillId="4" borderId="0" xfId="0" applyFont="1" applyFill="1"/>
    <xf numFmtId="0" fontId="8" fillId="6" borderId="0" xfId="0" applyFont="1" applyFill="1"/>
    <xf numFmtId="0" fontId="8" fillId="4" borderId="0" xfId="0" applyFont="1" applyFill="1" applyAlignment="1">
      <alignment horizontal="center"/>
    </xf>
    <xf numFmtId="0" fontId="8" fillId="5" borderId="0" xfId="0" applyFont="1" applyFill="1" applyAlignment="1">
      <alignment horizontal="center"/>
    </xf>
    <xf numFmtId="9" fontId="8" fillId="3" borderId="0" xfId="1" applyFont="1" applyFill="1" applyAlignment="1">
      <alignment horizontal="center"/>
    </xf>
    <xf numFmtId="9" fontId="8" fillId="5" borderId="0" xfId="1" applyFont="1" applyFill="1" applyAlignment="1">
      <alignment horizontal="center"/>
    </xf>
    <xf numFmtId="9" fontId="8" fillId="4" borderId="0" xfId="1" applyFont="1" applyFill="1" applyAlignment="1">
      <alignment horizontal="center"/>
    </xf>
    <xf numFmtId="0" fontId="8" fillId="3" borderId="0" xfId="0" applyFont="1" applyFill="1" applyAlignment="1">
      <alignment horizontal="center"/>
    </xf>
    <xf numFmtId="0" fontId="0" fillId="7" borderId="0" xfId="0" applyFill="1"/>
    <xf numFmtId="0" fontId="13" fillId="7" borderId="0" xfId="0" applyFont="1" applyFill="1"/>
    <xf numFmtId="0" fontId="0" fillId="7" borderId="17" xfId="0" applyFill="1" applyBorder="1"/>
    <xf numFmtId="0" fontId="0" fillId="7" borderId="12" xfId="0" applyFill="1" applyBorder="1"/>
    <xf numFmtId="0" fontId="0" fillId="7" borderId="13" xfId="0" applyFill="1" applyBorder="1"/>
    <xf numFmtId="164" fontId="8" fillId="3" borderId="0" xfId="2" applyNumberFormat="1" applyFont="1" applyFill="1" applyAlignment="1">
      <alignment horizontal="right"/>
    </xf>
    <xf numFmtId="164" fontId="8" fillId="5" borderId="0" xfId="2" applyNumberFormat="1" applyFont="1" applyFill="1" applyAlignment="1">
      <alignment horizontal="right"/>
    </xf>
    <xf numFmtId="164" fontId="8" fillId="4" borderId="0" xfId="2" applyNumberFormat="1" applyFont="1" applyFill="1" applyAlignment="1">
      <alignment horizontal="right"/>
    </xf>
    <xf numFmtId="0" fontId="8" fillId="7" borderId="0" xfId="0" applyFont="1" applyFill="1"/>
    <xf numFmtId="0" fontId="14" fillId="8" borderId="0" xfId="0" applyFont="1" applyFill="1" applyAlignment="1">
      <alignment horizontal="right" vertical="center" wrapText="1"/>
    </xf>
    <xf numFmtId="0" fontId="15" fillId="8" borderId="0" xfId="0" applyFont="1" applyFill="1" applyAlignment="1">
      <alignment horizontal="right" vertical="center" wrapText="1"/>
    </xf>
    <xf numFmtId="165" fontId="15" fillId="8" borderId="0" xfId="3" applyNumberFormat="1" applyFont="1" applyFill="1" applyAlignment="1">
      <alignment horizontal="right" vertical="center" wrapText="1"/>
    </xf>
    <xf numFmtId="0" fontId="10" fillId="0" borderId="0" xfId="0" applyFont="1" applyAlignment="1">
      <alignment horizontal="right"/>
    </xf>
    <xf numFmtId="0" fontId="8" fillId="0" borderId="0" xfId="0" applyFont="1" applyAlignment="1">
      <alignment horizontal="center"/>
    </xf>
    <xf numFmtId="0" fontId="13" fillId="0" borderId="0" xfId="0" applyFont="1" applyAlignment="1">
      <alignment horizontal="left" vertical="center"/>
    </xf>
    <xf numFmtId="0" fontId="9" fillId="7" borderId="0" xfId="0" applyFont="1" applyFill="1"/>
    <xf numFmtId="0" fontId="13" fillId="0" borderId="0" xfId="0" applyFont="1" applyAlignment="1">
      <alignment horizontal="center"/>
    </xf>
    <xf numFmtId="0" fontId="13" fillId="0" borderId="0" xfId="0" applyFont="1" applyAlignment="1">
      <alignment textRotation="90"/>
    </xf>
    <xf numFmtId="0" fontId="0" fillId="0" borderId="0" xfId="0" applyAlignment="1">
      <alignment horizontal="center"/>
    </xf>
    <xf numFmtId="0" fontId="13" fillId="0" borderId="0" xfId="0" applyFont="1" applyAlignment="1">
      <alignment horizontal="left"/>
    </xf>
    <xf numFmtId="0" fontId="0" fillId="8" borderId="0" xfId="0" applyFill="1"/>
    <xf numFmtId="166" fontId="15" fillId="8" borderId="0" xfId="0" applyNumberFormat="1" applyFont="1" applyFill="1" applyAlignment="1">
      <alignment horizontal="right" vertical="center" wrapText="1"/>
    </xf>
    <xf numFmtId="0" fontId="17" fillId="0" borderId="0" xfId="0" applyFont="1"/>
    <xf numFmtId="0" fontId="18" fillId="0" borderId="0" xfId="0" applyFont="1"/>
    <xf numFmtId="0" fontId="8" fillId="0" borderId="0" xfId="0" quotePrefix="1" applyFont="1"/>
    <xf numFmtId="0" fontId="19" fillId="0" borderId="0" xfId="0" applyFont="1"/>
    <xf numFmtId="165" fontId="15" fillId="3" borderId="0" xfId="3" applyNumberFormat="1" applyFont="1" applyFill="1" applyAlignment="1">
      <alignment horizontal="right" vertical="center" wrapText="1"/>
    </xf>
    <xf numFmtId="0" fontId="0" fillId="3" borderId="0" xfId="0" applyFill="1"/>
    <xf numFmtId="0" fontId="15" fillId="3" borderId="0" xfId="0" applyFont="1" applyFill="1" applyAlignment="1">
      <alignment horizontal="right" vertical="center" wrapText="1"/>
    </xf>
    <xf numFmtId="0" fontId="13" fillId="6" borderId="0" xfId="0" applyFont="1" applyFill="1"/>
    <xf numFmtId="0" fontId="0" fillId="6" borderId="0" xfId="0" applyFill="1"/>
    <xf numFmtId="0" fontId="10" fillId="0" borderId="0" xfId="0" applyFont="1" applyAlignment="1">
      <alignment horizontal="right" vertical="center"/>
    </xf>
    <xf numFmtId="0" fontId="10" fillId="6" borderId="0" xfId="0" applyFont="1" applyFill="1" applyAlignment="1">
      <alignment horizontal="right" vertical="center"/>
    </xf>
    <xf numFmtId="0" fontId="12" fillId="6" borderId="0" xfId="0" applyFont="1" applyFill="1"/>
    <xf numFmtId="0" fontId="10" fillId="6" borderId="0" xfId="0" applyFont="1" applyFill="1" applyAlignment="1">
      <alignment horizontal="left" vertical="center"/>
    </xf>
    <xf numFmtId="164" fontId="8" fillId="6" borderId="0" xfId="2" applyNumberFormat="1" applyFont="1" applyFill="1" applyAlignment="1">
      <alignment horizontal="right"/>
    </xf>
    <xf numFmtId="164" fontId="8" fillId="9" borderId="28" xfId="2" applyNumberFormat="1" applyFont="1" applyFill="1" applyBorder="1" applyAlignment="1">
      <alignment horizontal="right"/>
    </xf>
    <xf numFmtId="0" fontId="8" fillId="9" borderId="0" xfId="0" applyFont="1" applyFill="1"/>
    <xf numFmtId="0" fontId="10" fillId="9" borderId="0" xfId="0" applyFont="1" applyFill="1"/>
    <xf numFmtId="9" fontId="8" fillId="9" borderId="0" xfId="1" applyFont="1" applyFill="1" applyAlignment="1">
      <alignment horizontal="center"/>
    </xf>
    <xf numFmtId="164" fontId="8" fillId="9" borderId="28" xfId="2" applyNumberFormat="1" applyFont="1" applyFill="1" applyBorder="1"/>
    <xf numFmtId="167" fontId="15" fillId="8" borderId="0" xfId="0" applyNumberFormat="1" applyFont="1" applyFill="1" applyAlignment="1">
      <alignment horizontal="right" vertical="center" wrapText="1"/>
    </xf>
    <xf numFmtId="0" fontId="0" fillId="0" borderId="0" xfId="0" applyAlignment="1">
      <alignment horizontal="left" vertical="center"/>
    </xf>
    <xf numFmtId="0" fontId="20" fillId="8" borderId="0" xfId="0" applyFont="1" applyFill="1" applyAlignment="1">
      <alignment vertical="center" wrapText="1"/>
    </xf>
    <xf numFmtId="0" fontId="8" fillId="3" borderId="0" xfId="0" applyFont="1" applyFill="1" applyAlignment="1">
      <alignment horizontal="right"/>
    </xf>
    <xf numFmtId="164" fontId="8" fillId="3" borderId="0" xfId="2" applyNumberFormat="1" applyFont="1" applyFill="1"/>
    <xf numFmtId="164" fontId="8" fillId="0" borderId="0" xfId="2" applyNumberFormat="1" applyFont="1"/>
    <xf numFmtId="0" fontId="0" fillId="3" borderId="0" xfId="0" applyFill="1" applyAlignment="1">
      <alignment horizontal="center"/>
    </xf>
    <xf numFmtId="0" fontId="10" fillId="0" borderId="0" xfId="0" applyFont="1" applyAlignment="1">
      <alignment horizontal="left" vertical="center"/>
    </xf>
    <xf numFmtId="0" fontId="13" fillId="7" borderId="0" xfId="0" applyFont="1" applyFill="1" applyAlignment="1">
      <alignment horizontal="left"/>
    </xf>
    <xf numFmtId="164" fontId="0" fillId="0" borderId="0" xfId="2" applyNumberFormat="1" applyFont="1"/>
    <xf numFmtId="0" fontId="10" fillId="0" borderId="0" xfId="0" applyFont="1" applyAlignment="1">
      <alignment horizontal="left"/>
    </xf>
    <xf numFmtId="10" fontId="0" fillId="0" borderId="0" xfId="1" applyNumberFormat="1" applyFont="1"/>
    <xf numFmtId="3" fontId="17" fillId="0" borderId="0" xfId="0" applyNumberFormat="1" applyFont="1"/>
    <xf numFmtId="2" fontId="0" fillId="0" borderId="0" xfId="0" applyNumberFormat="1"/>
    <xf numFmtId="0" fontId="9" fillId="0" borderId="0" xfId="0" applyFont="1" applyAlignment="1">
      <alignment horizontal="left" vertical="center"/>
    </xf>
    <xf numFmtId="164" fontId="6" fillId="0" borderId="0" xfId="2" applyNumberFormat="1" applyFont="1"/>
    <xf numFmtId="164" fontId="0" fillId="0" borderId="0" xfId="2" applyNumberFormat="1" applyFont="1" applyAlignment="1">
      <alignment horizontal="left" vertical="center"/>
    </xf>
    <xf numFmtId="164" fontId="0" fillId="0" borderId="0" xfId="0" applyNumberFormat="1"/>
    <xf numFmtId="168" fontId="0" fillId="0" borderId="0" xfId="1" applyNumberFormat="1" applyFont="1"/>
    <xf numFmtId="165" fontId="8" fillId="0" borderId="0" xfId="3" applyNumberFormat="1" applyFont="1"/>
    <xf numFmtId="165" fontId="8" fillId="3" borderId="0" xfId="3" applyNumberFormat="1" applyFont="1" applyFill="1"/>
    <xf numFmtId="0" fontId="9" fillId="3" borderId="0" xfId="0" applyFont="1" applyFill="1"/>
    <xf numFmtId="0" fontId="10" fillId="3" borderId="0" xfId="0" quotePrefix="1" applyFont="1" applyFill="1"/>
    <xf numFmtId="0" fontId="10" fillId="0" borderId="0" xfId="0" quotePrefix="1" applyFont="1"/>
    <xf numFmtId="168" fontId="0" fillId="0" borderId="0" xfId="0" applyNumberFormat="1"/>
    <xf numFmtId="165" fontId="0" fillId="0" borderId="0" xfId="3" applyNumberFormat="1" applyFont="1"/>
    <xf numFmtId="0" fontId="8" fillId="0" borderId="0" xfId="0" quotePrefix="1" applyFont="1" applyAlignment="1">
      <alignment horizontal="center"/>
    </xf>
    <xf numFmtId="0" fontId="22" fillId="0" borderId="0" xfId="0" applyFont="1" applyAlignment="1">
      <alignment horizontal="right"/>
    </xf>
    <xf numFmtId="168" fontId="0" fillId="10" borderId="0" xfId="0" applyNumberFormat="1" applyFill="1"/>
    <xf numFmtId="168" fontId="8" fillId="10" borderId="0" xfId="1" applyNumberFormat="1" applyFont="1" applyFill="1"/>
    <xf numFmtId="0" fontId="16" fillId="0" borderId="0" xfId="0" applyFont="1"/>
    <xf numFmtId="164" fontId="8" fillId="0" borderId="29" xfId="0" applyNumberFormat="1" applyFont="1" applyBorder="1"/>
    <xf numFmtId="164" fontId="8" fillId="0" borderId="29" xfId="0" applyNumberFormat="1" applyFont="1" applyBorder="1" applyAlignment="1">
      <alignment horizontal="right"/>
    </xf>
    <xf numFmtId="164" fontId="8" fillId="0" borderId="0" xfId="0" applyNumberFormat="1" applyFont="1"/>
    <xf numFmtId="0" fontId="15" fillId="8" borderId="35" xfId="0" applyFont="1" applyFill="1" applyBorder="1" applyAlignment="1">
      <alignment horizontal="center" vertical="center" wrapText="1"/>
    </xf>
    <xf numFmtId="0" fontId="15" fillId="8" borderId="36" xfId="0" applyFont="1" applyFill="1" applyBorder="1" applyAlignment="1">
      <alignment horizontal="center" vertical="center" wrapText="1"/>
    </xf>
    <xf numFmtId="0" fontId="15" fillId="8" borderId="37" xfId="0" applyFont="1" applyFill="1" applyBorder="1" applyAlignment="1">
      <alignment horizontal="center" vertical="center" wrapText="1"/>
    </xf>
    <xf numFmtId="165" fontId="0" fillId="0" borderId="0" xfId="3" applyNumberFormat="1" applyFont="1" applyAlignment="1">
      <alignment horizontal="center"/>
    </xf>
    <xf numFmtId="44" fontId="0" fillId="0" borderId="0" xfId="3" applyFont="1" applyAlignment="1">
      <alignment horizontal="right"/>
    </xf>
    <xf numFmtId="165" fontId="21" fillId="8" borderId="0" xfId="3" applyNumberFormat="1" applyFont="1" applyFill="1" applyAlignment="1">
      <alignment horizontal="center" vertical="center" wrapText="1"/>
    </xf>
    <xf numFmtId="0" fontId="23" fillId="8" borderId="35" xfId="0" applyFont="1" applyFill="1" applyBorder="1" applyAlignment="1">
      <alignment horizontal="right" vertical="center" wrapText="1"/>
    </xf>
    <xf numFmtId="0" fontId="24" fillId="8" borderId="36" xfId="0" applyFont="1" applyFill="1" applyBorder="1" applyAlignment="1">
      <alignment horizontal="right" vertical="center" wrapText="1"/>
    </xf>
    <xf numFmtId="0" fontId="23" fillId="8" borderId="36" xfId="0" applyFont="1" applyFill="1" applyBorder="1" applyAlignment="1">
      <alignment horizontal="right" vertical="center" wrapText="1"/>
    </xf>
    <xf numFmtId="0" fontId="23" fillId="8" borderId="37" xfId="0" applyFont="1" applyFill="1" applyBorder="1" applyAlignment="1">
      <alignment horizontal="right" vertical="center" wrapText="1"/>
    </xf>
    <xf numFmtId="0" fontId="15" fillId="8" borderId="35" xfId="0" applyFont="1" applyFill="1" applyBorder="1" applyAlignment="1">
      <alignment horizontal="right" vertical="center" wrapText="1"/>
    </xf>
    <xf numFmtId="0" fontId="15" fillId="8" borderId="36" xfId="0" applyFont="1" applyFill="1" applyBorder="1" applyAlignment="1">
      <alignment horizontal="right" vertical="center" wrapText="1"/>
    </xf>
    <xf numFmtId="0" fontId="15" fillId="8" borderId="37" xfId="0" applyFont="1" applyFill="1" applyBorder="1" applyAlignment="1">
      <alignment horizontal="right" vertical="center" wrapText="1"/>
    </xf>
    <xf numFmtId="0" fontId="0" fillId="0" borderId="0" xfId="0" applyAlignment="1">
      <alignment horizontal="right" vertical="center"/>
    </xf>
    <xf numFmtId="167" fontId="0" fillId="0" borderId="0" xfId="0" applyNumberFormat="1"/>
    <xf numFmtId="0" fontId="22" fillId="0" borderId="0" xfId="0" applyFont="1" applyAlignment="1">
      <alignment horizontal="right" vertical="center"/>
    </xf>
    <xf numFmtId="0" fontId="13" fillId="0" borderId="0" xfId="0" applyFont="1" applyAlignment="1">
      <alignment horizontal="center" textRotation="90"/>
    </xf>
    <xf numFmtId="0" fontId="16" fillId="7" borderId="0" xfId="0" applyFont="1" applyFill="1"/>
    <xf numFmtId="0" fontId="25" fillId="7" borderId="0" xfId="0" applyFont="1" applyFill="1"/>
    <xf numFmtId="0" fontId="26" fillId="7" borderId="0" xfId="0" applyFont="1" applyFill="1"/>
    <xf numFmtId="0" fontId="16" fillId="0" borderId="0" xfId="0" applyFont="1" applyAlignment="1">
      <alignment horizontal="center"/>
    </xf>
    <xf numFmtId="0" fontId="13" fillId="0" borderId="0" xfId="0" applyFont="1" applyAlignment="1">
      <alignment horizontal="center"/>
    </xf>
    <xf numFmtId="0" fontId="14" fillId="8" borderId="0" xfId="0" applyFont="1" applyFill="1" applyAlignment="1">
      <alignment horizontal="right" vertical="center" wrapText="1"/>
    </xf>
    <xf numFmtId="164" fontId="8" fillId="0" borderId="0" xfId="2" applyNumberFormat="1" applyFont="1" applyAlignment="1">
      <alignment horizontal="center"/>
    </xf>
    <xf numFmtId="0" fontId="8" fillId="0" borderId="0" xfId="0" applyFont="1" applyAlignment="1">
      <alignment horizontal="right"/>
    </xf>
    <xf numFmtId="164" fontId="0" fillId="0" borderId="0" xfId="0" applyNumberFormat="1" applyAlignment="1">
      <alignment horizontal="center"/>
    </xf>
    <xf numFmtId="164" fontId="0" fillId="0" borderId="0" xfId="2" applyNumberFormat="1" applyFont="1" applyAlignment="1">
      <alignment horizontal="right"/>
    </xf>
    <xf numFmtId="0" fontId="10" fillId="0" borderId="0" xfId="0" applyFont="1" applyAlignment="1">
      <alignment horizontal="right"/>
    </xf>
    <xf numFmtId="0" fontId="22" fillId="0" borderId="33" xfId="0" quotePrefix="1" applyFont="1" applyBorder="1" applyAlignment="1">
      <alignment horizontal="center"/>
    </xf>
    <xf numFmtId="0" fontId="22" fillId="0" borderId="0" xfId="0" applyFont="1" applyAlignment="1">
      <alignment horizontal="center"/>
    </xf>
    <xf numFmtId="0" fontId="22" fillId="0" borderId="34" xfId="0" applyFont="1" applyBorder="1" applyAlignment="1">
      <alignment horizontal="center"/>
    </xf>
    <xf numFmtId="0" fontId="9" fillId="0" borderId="30" xfId="0" applyFont="1" applyBorder="1" applyAlignment="1">
      <alignment horizontal="center"/>
    </xf>
    <xf numFmtId="0" fontId="9" fillId="0" borderId="31" xfId="0" applyFont="1" applyBorder="1" applyAlignment="1">
      <alignment horizontal="center"/>
    </xf>
    <xf numFmtId="0" fontId="9" fillId="0" borderId="32" xfId="0" applyFont="1" applyBorder="1" applyAlignment="1">
      <alignment horizontal="center"/>
    </xf>
    <xf numFmtId="0" fontId="15" fillId="8" borderId="0" xfId="0" applyFont="1" applyFill="1" applyAlignment="1">
      <alignment horizontal="right" vertical="center" wrapText="1"/>
    </xf>
    <xf numFmtId="165" fontId="15" fillId="8" borderId="0" xfId="3" applyNumberFormat="1" applyFont="1" applyFill="1" applyAlignment="1">
      <alignment vertical="center" wrapText="1"/>
    </xf>
    <xf numFmtId="0" fontId="22" fillId="0" borderId="0" xfId="0" applyFont="1" applyAlignment="1">
      <alignment horizontal="right"/>
    </xf>
    <xf numFmtId="0" fontId="8" fillId="0" borderId="0" xfId="0" applyFont="1" applyAlignment="1">
      <alignment horizontal="center"/>
    </xf>
    <xf numFmtId="2" fontId="0" fillId="0" borderId="0" xfId="0" applyNumberFormat="1" applyAlignment="1">
      <alignment horizontal="center"/>
    </xf>
    <xf numFmtId="0" fontId="8" fillId="0" borderId="0" xfId="0" applyFont="1" applyFill="1"/>
    <xf numFmtId="0" fontId="13" fillId="0" borderId="0" xfId="0" applyFont="1" applyFill="1"/>
    <xf numFmtId="0" fontId="8" fillId="11" borderId="0" xfId="0" applyFont="1" applyFill="1"/>
    <xf numFmtId="0" fontId="13" fillId="11" borderId="0" xfId="0" applyFont="1" applyFill="1"/>
    <xf numFmtId="0" fontId="13" fillId="11" borderId="0" xfId="0" applyFont="1" applyFill="1" applyAlignment="1">
      <alignment horizontal="center"/>
    </xf>
    <xf numFmtId="0" fontId="13" fillId="11" borderId="0" xfId="0" applyFont="1" applyFill="1" applyAlignment="1">
      <alignment horizontal="left"/>
    </xf>
    <xf numFmtId="0" fontId="0" fillId="11" borderId="0" xfId="0" applyFill="1"/>
    <xf numFmtId="0" fontId="13" fillId="0" borderId="0" xfId="0" applyFont="1" applyFill="1" applyAlignment="1">
      <alignment horizontal="left"/>
    </xf>
    <xf numFmtId="0" fontId="0" fillId="0" borderId="0" xfId="0" applyFill="1"/>
    <xf numFmtId="0" fontId="8" fillId="11" borderId="0" xfId="0" applyFont="1" applyFill="1" applyAlignment="1">
      <alignment horizontal="left"/>
    </xf>
    <xf numFmtId="0" fontId="12" fillId="11" borderId="0" xfId="0" applyFont="1" applyFill="1"/>
    <xf numFmtId="0" fontId="0" fillId="11" borderId="0" xfId="0" applyFont="1" applyFill="1"/>
    <xf numFmtId="0" fontId="9" fillId="0" borderId="0" xfId="0" applyFont="1" applyFill="1"/>
    <xf numFmtId="0" fontId="9" fillId="11" borderId="0" xfId="0" applyFont="1" applyFill="1"/>
  </cellXfs>
  <cellStyles count="4">
    <cellStyle name="Comma" xfId="2" builtinId="3"/>
    <cellStyle name="Currency" xfId="3" builtinId="4"/>
    <cellStyle name="Normal" xfId="0" builtinId="0"/>
    <cellStyle name="Percent" xfId="1" builtinId="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FFCC"/>
      <color rgb="FFCCFF99"/>
      <color rgb="FFCCFFFF"/>
      <color rgb="FFFBE1FF"/>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0" i="0"/>
            <a:t>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49693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32434489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66083" custLinFactNeighborY="-18914"/>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7163" custLinFactNeighborX="72790" custLinFactNeighborY="429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49603" custLinFactNeighborY="-10392">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52077" custLinFactNeighborX="-5609" custLinFactNeighborY="-7361">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76319" custLinFactNeighborX="56837" custLinFactNeighborY="7834">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603693" y="786955"/>
          <a:ext cx="647935" cy="7376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32030" y="7113"/>
          <a:ext cx="1090741" cy="7634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469307" y="44390"/>
        <a:ext cx="1016187" cy="688929"/>
      </dsp:txXfrm>
    </dsp:sp>
    <dsp:sp modelId="{02D75559-D361-43C2-960D-0DE64B2217E1}">
      <dsp:nvSpPr>
        <dsp:cNvPr id="0" name=""/>
        <dsp:cNvSpPr/>
      </dsp:nvSpPr>
      <dsp:spPr>
        <a:xfrm>
          <a:off x="1589793" y="79928"/>
          <a:ext cx="1746794" cy="61708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0" i="0" kern="1200"/>
            <a:t>3421083</a:t>
          </a:r>
          <a:endParaRPr lang="en-US" sz="1200" kern="1200">
            <a:solidFill>
              <a:schemeClr val="bg2">
                <a:lumMod val="50000"/>
              </a:schemeClr>
            </a:solidFill>
          </a:endParaRPr>
        </a:p>
      </dsp:txBody>
      <dsp:txXfrm>
        <a:off x="1589793" y="79928"/>
        <a:ext cx="1746794" cy="617081"/>
      </dsp:txXfrm>
    </dsp:sp>
    <dsp:sp modelId="{9621899D-0F5A-435B-840E-4641491BFF2E}">
      <dsp:nvSpPr>
        <dsp:cNvPr id="0" name=""/>
        <dsp:cNvSpPr/>
      </dsp:nvSpPr>
      <dsp:spPr>
        <a:xfrm>
          <a:off x="1349067" y="864757"/>
          <a:ext cx="1181643" cy="83225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1389702" y="905392"/>
        <a:ext cx="1100373" cy="750988"/>
      </dsp:txXfrm>
    </dsp:sp>
    <dsp:sp modelId="{FEDA8202-94DB-48E0-9F89-FDAC252494CB}">
      <dsp:nvSpPr>
        <dsp:cNvPr id="0" name=""/>
        <dsp:cNvSpPr/>
      </dsp:nvSpPr>
      <dsp:spPr>
        <a:xfrm>
          <a:off x="2517518" y="971960"/>
          <a:ext cx="1188785" cy="61708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2517518" y="971960"/>
        <a:ext cx="1188785" cy="61708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554035" y="1047900"/>
          <a:ext cx="855873" cy="97438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27281" y="8262"/>
          <a:ext cx="1440787" cy="100850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6521" y="57502"/>
        <a:ext cx="1342307" cy="910024"/>
      </dsp:txXfrm>
    </dsp:sp>
    <dsp:sp modelId="{02D75559-D361-43C2-960D-0DE64B2217E1}">
      <dsp:nvSpPr>
        <dsp:cNvPr id="0" name=""/>
        <dsp:cNvSpPr/>
      </dsp:nvSpPr>
      <dsp:spPr>
        <a:xfrm>
          <a:off x="1789440" y="76072"/>
          <a:ext cx="2026716" cy="81511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49693</a:t>
          </a:r>
          <a:r>
            <a:rPr lang="en-US" sz="1400" kern="1200">
              <a:solidFill>
                <a:schemeClr val="bg2">
                  <a:lumMod val="50000"/>
                </a:schemeClr>
              </a:solidFill>
            </a:rPr>
            <a:t> </a:t>
          </a:r>
          <a:endParaRPr lang="en-US" sz="1900" kern="1200">
            <a:solidFill>
              <a:schemeClr val="bg2">
                <a:lumMod val="50000"/>
              </a:schemeClr>
            </a:solidFill>
          </a:endParaRPr>
        </a:p>
      </dsp:txBody>
      <dsp:txXfrm>
        <a:off x="1789440" y="76072"/>
        <a:ext cx="2026716" cy="815117"/>
      </dsp:txXfrm>
    </dsp:sp>
    <dsp:sp modelId="{9621899D-0F5A-435B-840E-4641491BFF2E}">
      <dsp:nvSpPr>
        <dsp:cNvPr id="0" name=""/>
        <dsp:cNvSpPr/>
      </dsp:nvSpPr>
      <dsp:spPr>
        <a:xfrm>
          <a:off x="1558080" y="1141145"/>
          <a:ext cx="1440787" cy="1008504"/>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607320" y="1190385"/>
        <a:ext cx="1342307" cy="910024"/>
      </dsp:txXfrm>
    </dsp:sp>
    <dsp:sp modelId="{FEDA8202-94DB-48E0-9F89-FDAC252494CB}">
      <dsp:nvSpPr>
        <dsp:cNvPr id="0" name=""/>
        <dsp:cNvSpPr/>
      </dsp:nvSpPr>
      <dsp:spPr>
        <a:xfrm>
          <a:off x="3027291" y="1237329"/>
          <a:ext cx="1047891" cy="81511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a:t>
          </a:r>
        </a:p>
      </dsp:txBody>
      <dsp:txXfrm>
        <a:off x="3027291" y="1237329"/>
        <a:ext cx="1047891" cy="815117"/>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6895" y="1337046"/>
          <a:ext cx="739181" cy="51095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3927" y="658447"/>
          <a:ext cx="1832699" cy="49090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77895" y="682415"/>
        <a:ext cx="1784763" cy="442965"/>
      </dsp:txXfrm>
    </dsp:sp>
    <dsp:sp modelId="{02D75559-D361-43C2-960D-0DE64B2217E1}">
      <dsp:nvSpPr>
        <dsp:cNvPr id="0" name=""/>
        <dsp:cNvSpPr/>
      </dsp:nvSpPr>
      <dsp:spPr>
        <a:xfrm>
          <a:off x="1929410" y="570212"/>
          <a:ext cx="1566947" cy="72915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1929410" y="570212"/>
        <a:ext cx="1566947" cy="729152"/>
      </dsp:txXfrm>
    </dsp:sp>
    <dsp:sp modelId="{9621899D-0F5A-435B-840E-4641491BFF2E}">
      <dsp:nvSpPr>
        <dsp:cNvPr id="0" name=""/>
        <dsp:cNvSpPr/>
      </dsp:nvSpPr>
      <dsp:spPr>
        <a:xfrm>
          <a:off x="712016" y="1427185"/>
          <a:ext cx="1869547" cy="594224"/>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741029" y="1456198"/>
        <a:ext cx="1811521" cy="536198"/>
      </dsp:txXfrm>
    </dsp:sp>
    <dsp:sp modelId="{FEDA8202-94DB-48E0-9F89-FDAC252494CB}">
      <dsp:nvSpPr>
        <dsp:cNvPr id="0" name=""/>
        <dsp:cNvSpPr/>
      </dsp:nvSpPr>
      <dsp:spPr>
        <a:xfrm>
          <a:off x="2633853" y="1399343"/>
          <a:ext cx="1425534" cy="72915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2633853" y="1399343"/>
        <a:ext cx="1425534" cy="729152"/>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5667" y="1095845"/>
          <a:ext cx="693506" cy="78953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929" y="261154"/>
          <a:ext cx="1167456" cy="81718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828" y="301053"/>
        <a:ext cx="1087658" cy="737384"/>
      </dsp:txXfrm>
    </dsp:sp>
    <dsp:sp modelId="{02D75559-D361-43C2-960D-0DE64B2217E1}">
      <dsp:nvSpPr>
        <dsp:cNvPr id="0" name=""/>
        <dsp:cNvSpPr/>
      </dsp:nvSpPr>
      <dsp:spPr>
        <a:xfrm>
          <a:off x="1327976" y="390834"/>
          <a:ext cx="1497119" cy="6604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206209</a:t>
          </a:r>
        </a:p>
      </dsp:txBody>
      <dsp:txXfrm>
        <a:off x="1327976" y="390834"/>
        <a:ext cx="1497119" cy="660482"/>
      </dsp:txXfrm>
    </dsp:sp>
    <dsp:sp modelId="{9621899D-0F5A-435B-840E-4641491BFF2E}">
      <dsp:nvSpPr>
        <dsp:cNvPr id="0" name=""/>
        <dsp:cNvSpPr/>
      </dsp:nvSpPr>
      <dsp:spPr>
        <a:xfrm>
          <a:off x="1147185" y="1255428"/>
          <a:ext cx="1167456" cy="81718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187084" y="1295327"/>
        <a:ext cx="1087658" cy="737384"/>
      </dsp:txXfrm>
    </dsp:sp>
    <dsp:sp modelId="{FEDA8202-94DB-48E0-9F89-FDAC252494CB}">
      <dsp:nvSpPr>
        <dsp:cNvPr id="0" name=""/>
        <dsp:cNvSpPr/>
      </dsp:nvSpPr>
      <dsp:spPr>
        <a:xfrm>
          <a:off x="2294788" y="1257056"/>
          <a:ext cx="849096" cy="6604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294788" y="1257056"/>
        <a:ext cx="849096" cy="660482"/>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image" Target="../media/image4.png"/><Relationship Id="rId12" Type="http://schemas.openxmlformats.org/officeDocument/2006/relationships/image" Target="../media/image13.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April 5th,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Dirk Davis</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475616</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22</xdr:col>
      <xdr:colOff>203200</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4</xdr:col>
      <xdr:colOff>619502</xdr:colOff>
      <xdr:row>18</xdr:row>
      <xdr:rowOff>36196</xdr:rowOff>
    </xdr:from>
    <xdr:to>
      <xdr:col>6</xdr:col>
      <xdr:colOff>339627</xdr:colOff>
      <xdr:row>20</xdr:row>
      <xdr:rowOff>41053</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3644198" y="2282000"/>
          <a:ext cx="354107" cy="2149000"/>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513040</xdr:colOff>
      <xdr:row>16</xdr:row>
      <xdr:rowOff>11880</xdr:rowOff>
    </xdr:from>
    <xdr:to>
      <xdr:col>8</xdr:col>
      <xdr:colOff>241148</xdr:colOff>
      <xdr:row>19</xdr:row>
      <xdr:rowOff>108162</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5656540" y="2805880"/>
          <a:ext cx="315483" cy="620157"/>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4759113" y="3599450"/>
          <a:ext cx="2393738" cy="48949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22</xdr:row>
      <xdr:rowOff>139700</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8028211" y="3610428"/>
          <a:ext cx="3378716" cy="367212"/>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3467262" y="3503476"/>
          <a:ext cx="2587264" cy="616828"/>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4782904" y="4071597"/>
          <a:ext cx="1299126" cy="560095"/>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8084819" y="3972563"/>
          <a:ext cx="2410461" cy="56768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32399732</a:t>
            </a: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3569734" y="4047743"/>
          <a:ext cx="1377742" cy="487000"/>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200" kern="1200" baseline="0"/>
              <a:t>30959687</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549698</xdr:colOff>
      <xdr:row>2</xdr:row>
      <xdr:rowOff>176</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560648</xdr:colOff>
      <xdr:row>17</xdr:row>
      <xdr:rowOff>50486</xdr:rowOff>
    </xdr:from>
    <xdr:to>
      <xdr:col>14</xdr:col>
      <xdr:colOff>285370</xdr:colOff>
      <xdr:row>20</xdr:row>
      <xdr:rowOff>129623</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9958648" y="3019111"/>
          <a:ext cx="661347" cy="60301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3808</xdr:colOff>
      <xdr:row>5</xdr:row>
      <xdr:rowOff>4234</xdr:rowOff>
    </xdr:from>
    <xdr:to>
      <xdr:col>23</xdr:col>
      <xdr:colOff>137581</xdr:colOff>
      <xdr:row>5</xdr:row>
      <xdr:rowOff>4234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72108" y="905934"/>
          <a:ext cx="162119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16</xdr:row>
      <xdr:rowOff>64460</xdr:rowOff>
    </xdr:from>
    <xdr:to>
      <xdr:col>19</xdr:col>
      <xdr:colOff>483491</xdr:colOff>
      <xdr:row>19</xdr:row>
      <xdr:rowOff>137882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4220134" y="2718760"/>
          <a:ext cx="322257" cy="5687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Observations</a:t>
          </a:r>
          <a:r>
            <a:rPr lang="en-US" sz="1400" b="0" baseline="0">
              <a:solidFill>
                <a:schemeClr val="bg2">
                  <a:lumMod val="50000"/>
                </a:schemeClr>
              </a:solidFill>
            </a:rPr>
            <a:t> to be removed: 1440045</a:t>
          </a:r>
        </a:p>
        <a:p>
          <a:r>
            <a:rPr lang="en-US" sz="1400" b="0" baseline="0">
              <a:solidFill>
                <a:schemeClr val="bg2">
                  <a:lumMod val="50000"/>
                </a:schemeClr>
              </a:solidFill>
            </a:rPr>
            <a:t>Final total count of order_products_all: 30959687</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1163413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1163800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1165004</xdr:colOff>
      <xdr:row>1</xdr:row>
      <xdr:rowOff>92290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visualizations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476400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xdr:col>
      <xdr:colOff>952</xdr:colOff>
      <xdr:row>12</xdr:row>
      <xdr:rowOff>147161</xdr:rowOff>
    </xdr:from>
    <xdr:to>
      <xdr:col>11</xdr:col>
      <xdr:colOff>21906</xdr:colOff>
      <xdr:row>34</xdr:row>
      <xdr:rowOff>113825</xdr:rowOff>
    </xdr:to>
    <xdr:pic>
      <xdr:nvPicPr>
        <xdr:cNvPr id="3" name="Picture 2">
          <a:extLst>
            <a:ext uri="{FF2B5EF4-FFF2-40B4-BE49-F238E27FC236}">
              <a16:creationId xmlns:a16="http://schemas.microsoft.com/office/drawing/2014/main" id="{4A9E98AA-6415-4014-B8C2-A07F13838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0108" y="2361724"/>
          <a:ext cx="5384482" cy="5241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72865</xdr:colOff>
      <xdr:row>38</xdr:row>
      <xdr:rowOff>121631</xdr:rowOff>
    </xdr:from>
    <xdr:to>
      <xdr:col>10</xdr:col>
      <xdr:colOff>591502</xdr:colOff>
      <xdr:row>54</xdr:row>
      <xdr:rowOff>96202</xdr:rowOff>
    </xdr:to>
    <xdr:pic>
      <xdr:nvPicPr>
        <xdr:cNvPr id="7" name="Picture 6">
          <a:extLst>
            <a:ext uri="{FF2B5EF4-FFF2-40B4-BE49-F238E27FC236}">
              <a16:creationId xmlns:a16="http://schemas.microsoft.com/office/drawing/2014/main" id="{9D4F5508-62E7-4A95-B708-D0C0F2FD68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2021" y="8527444"/>
          <a:ext cx="5284947" cy="3616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535781</xdr:colOff>
      <xdr:row>59</xdr:row>
      <xdr:rowOff>134779</xdr:rowOff>
    </xdr:from>
    <xdr:to>
      <xdr:col>10</xdr:col>
      <xdr:colOff>137159</xdr:colOff>
      <xdr:row>77</xdr:row>
      <xdr:rowOff>154781</xdr:rowOff>
    </xdr:to>
    <xdr:pic>
      <xdr:nvPicPr>
        <xdr:cNvPr id="8" name="Picture 7">
          <a:extLst>
            <a:ext uri="{FF2B5EF4-FFF2-40B4-BE49-F238E27FC236}">
              <a16:creationId xmlns:a16="http://schemas.microsoft.com/office/drawing/2014/main" id="{E68591E0-4C49-4A27-AEF7-FEBB5E5EF0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4937" y="12933998"/>
          <a:ext cx="4360068" cy="3234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96203</xdr:colOff>
      <xdr:row>82</xdr:row>
      <xdr:rowOff>148590</xdr:rowOff>
    </xdr:from>
    <xdr:to>
      <xdr:col>10</xdr:col>
      <xdr:colOff>587216</xdr:colOff>
      <xdr:row>104</xdr:row>
      <xdr:rowOff>167640</xdr:rowOff>
    </xdr:to>
    <xdr:pic>
      <xdr:nvPicPr>
        <xdr:cNvPr id="9" name="Picture 8">
          <a:extLst>
            <a:ext uri="{FF2B5EF4-FFF2-40B4-BE49-F238E27FC236}">
              <a16:creationId xmlns:a16="http://schemas.microsoft.com/office/drawing/2014/main" id="{5659B3B5-B1CE-4A54-86EF-C58BDB7BF36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65359" y="17103090"/>
          <a:ext cx="5253513" cy="5317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212407</xdr:colOff>
      <xdr:row>111</xdr:row>
      <xdr:rowOff>140970</xdr:rowOff>
    </xdr:from>
    <xdr:to>
      <xdr:col>12</xdr:col>
      <xdr:colOff>345281</xdr:colOff>
      <xdr:row>135</xdr:row>
      <xdr:rowOff>60307</xdr:rowOff>
    </xdr:to>
    <xdr:pic>
      <xdr:nvPicPr>
        <xdr:cNvPr id="10" name="Picture 9">
          <a:extLst>
            <a:ext uri="{FF2B5EF4-FFF2-40B4-BE49-F238E27FC236}">
              <a16:creationId xmlns:a16="http://schemas.microsoft.com/office/drawing/2014/main" id="{6DD09899-F148-4439-B907-99878D26EA5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81563" y="23715345"/>
          <a:ext cx="6085999" cy="646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xdr:row>
      <xdr:rowOff>0</xdr:rowOff>
    </xdr:from>
    <xdr:to>
      <xdr:col>12</xdr:col>
      <xdr:colOff>173356</xdr:colOff>
      <xdr:row>162</xdr:row>
      <xdr:rowOff>168593</xdr:rowOff>
    </xdr:to>
    <xdr:pic>
      <xdr:nvPicPr>
        <xdr:cNvPr id="11" name="Picture 10">
          <a:extLst>
            <a:ext uri="{FF2B5EF4-FFF2-40B4-BE49-F238E27FC236}">
              <a16:creationId xmlns:a16="http://schemas.microsoft.com/office/drawing/2014/main" id="{25E0796E-811D-4286-89C3-B8B25A089F6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64469" y="31039594"/>
          <a:ext cx="5527358" cy="4101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130969</xdr:colOff>
      <xdr:row>164</xdr:row>
      <xdr:rowOff>47626</xdr:rowOff>
    </xdr:from>
    <xdr:to>
      <xdr:col>12</xdr:col>
      <xdr:colOff>134780</xdr:colOff>
      <xdr:row>187</xdr:row>
      <xdr:rowOff>7145</xdr:rowOff>
    </xdr:to>
    <xdr:pic>
      <xdr:nvPicPr>
        <xdr:cNvPr id="12" name="Picture 11">
          <a:extLst>
            <a:ext uri="{FF2B5EF4-FFF2-40B4-BE49-F238E27FC236}">
              <a16:creationId xmlns:a16="http://schemas.microsoft.com/office/drawing/2014/main" id="{4377BE0E-0842-4506-9C36-5D1BE426F36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95438" y="35373470"/>
          <a:ext cx="5365433" cy="4065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130969</xdr:colOff>
      <xdr:row>189</xdr:row>
      <xdr:rowOff>95250</xdr:rowOff>
    </xdr:from>
    <xdr:to>
      <xdr:col>12</xdr:col>
      <xdr:colOff>300990</xdr:colOff>
      <xdr:row>204</xdr:row>
      <xdr:rowOff>54293</xdr:rowOff>
    </xdr:to>
    <xdr:pic>
      <xdr:nvPicPr>
        <xdr:cNvPr id="13" name="Picture 12">
          <a:extLst>
            <a:ext uri="{FF2B5EF4-FFF2-40B4-BE49-F238E27FC236}">
              <a16:creationId xmlns:a16="http://schemas.microsoft.com/office/drawing/2014/main" id="{28F7AD57-FD2D-4FCD-B4F6-ED03516DEE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00125" y="39885938"/>
          <a:ext cx="6123146" cy="2634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511969</xdr:colOff>
      <xdr:row>205</xdr:row>
      <xdr:rowOff>95249</xdr:rowOff>
    </xdr:from>
    <xdr:to>
      <xdr:col>11</xdr:col>
      <xdr:colOff>582930</xdr:colOff>
      <xdr:row>220</xdr:row>
      <xdr:rowOff>95250</xdr:rowOff>
    </xdr:to>
    <xdr:pic>
      <xdr:nvPicPr>
        <xdr:cNvPr id="14" name="Picture 13">
          <a:extLst>
            <a:ext uri="{FF2B5EF4-FFF2-40B4-BE49-F238E27FC236}">
              <a16:creationId xmlns:a16="http://schemas.microsoft.com/office/drawing/2014/main" id="{43B88934-C9DA-4E43-961C-BD6DAE428F9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85813" y="42743437"/>
          <a:ext cx="6022181" cy="2675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583406</xdr:colOff>
      <xdr:row>223</xdr:row>
      <xdr:rowOff>71438</xdr:rowOff>
    </xdr:from>
    <xdr:to>
      <xdr:col>12</xdr:col>
      <xdr:colOff>492443</xdr:colOff>
      <xdr:row>238</xdr:row>
      <xdr:rowOff>10002</xdr:rowOff>
    </xdr:to>
    <xdr:pic>
      <xdr:nvPicPr>
        <xdr:cNvPr id="15" name="Picture 14">
          <a:extLst>
            <a:ext uri="{FF2B5EF4-FFF2-40B4-BE49-F238E27FC236}">
              <a16:creationId xmlns:a16="http://schemas.microsoft.com/office/drawing/2014/main" id="{E305FAB8-230B-4B88-A754-1B6C8CB01B5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57250" y="45934313"/>
          <a:ext cx="6457474" cy="2615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583406</xdr:colOff>
      <xdr:row>240</xdr:row>
      <xdr:rowOff>23813</xdr:rowOff>
    </xdr:from>
    <xdr:to>
      <xdr:col>12</xdr:col>
      <xdr:colOff>287655</xdr:colOff>
      <xdr:row>254</xdr:row>
      <xdr:rowOff>171928</xdr:rowOff>
    </xdr:to>
    <xdr:pic>
      <xdr:nvPicPr>
        <xdr:cNvPr id="16" name="Picture 15">
          <a:extLst>
            <a:ext uri="{FF2B5EF4-FFF2-40B4-BE49-F238E27FC236}">
              <a16:creationId xmlns:a16="http://schemas.microsoft.com/office/drawing/2014/main" id="{DD4466B1-C3F0-490B-BD4F-63093CAAB9C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57250" y="48922782"/>
          <a:ext cx="6248876" cy="2644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448628</xdr:colOff>
      <xdr:row>260</xdr:row>
      <xdr:rowOff>154782</xdr:rowOff>
    </xdr:from>
    <xdr:to>
      <xdr:col>14</xdr:col>
      <xdr:colOff>256223</xdr:colOff>
      <xdr:row>285</xdr:row>
      <xdr:rowOff>29052</xdr:rowOff>
    </xdr:to>
    <xdr:pic>
      <xdr:nvPicPr>
        <xdr:cNvPr id="17" name="Picture 16">
          <a:extLst>
            <a:ext uri="{FF2B5EF4-FFF2-40B4-BE49-F238E27FC236}">
              <a16:creationId xmlns:a16="http://schemas.microsoft.com/office/drawing/2014/main" id="{455C3B1F-B7D1-4560-AF2A-9AC3A09A371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17784" y="52649438"/>
          <a:ext cx="6998970" cy="4339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287</xdr:row>
      <xdr:rowOff>-1</xdr:rowOff>
    </xdr:from>
    <xdr:to>
      <xdr:col>23</xdr:col>
      <xdr:colOff>90571</xdr:colOff>
      <xdr:row>322</xdr:row>
      <xdr:rowOff>11905</xdr:rowOff>
    </xdr:to>
    <xdr:pic>
      <xdr:nvPicPr>
        <xdr:cNvPr id="18" name="Picture 17">
          <a:extLst>
            <a:ext uri="{FF2B5EF4-FFF2-40B4-BE49-F238E27FC236}">
              <a16:creationId xmlns:a16="http://schemas.microsoft.com/office/drawing/2014/main" id="{1E577534-85B6-4220-9251-8A8AC2BD61C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73844" y="57316687"/>
          <a:ext cx="13235071" cy="6262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297655</xdr:colOff>
      <xdr:row>325</xdr:row>
      <xdr:rowOff>23813</xdr:rowOff>
    </xdr:from>
    <xdr:to>
      <xdr:col>15</xdr:col>
      <xdr:colOff>70960</xdr:colOff>
      <xdr:row>349</xdr:row>
      <xdr:rowOff>155258</xdr:rowOff>
    </xdr:to>
    <xdr:pic>
      <xdr:nvPicPr>
        <xdr:cNvPr id="19" name="Picture 18">
          <a:extLst>
            <a:ext uri="{FF2B5EF4-FFF2-40B4-BE49-F238E27FC236}">
              <a16:creationId xmlns:a16="http://schemas.microsoft.com/office/drawing/2014/main" id="{F720B052-B4E7-4387-A031-275B3FBB33E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62124" y="64127063"/>
          <a:ext cx="6964680" cy="441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1904</xdr:colOff>
      <xdr:row>352</xdr:row>
      <xdr:rowOff>0</xdr:rowOff>
    </xdr:from>
    <xdr:to>
      <xdr:col>22</xdr:col>
      <xdr:colOff>555412</xdr:colOff>
      <xdr:row>386</xdr:row>
      <xdr:rowOff>71437</xdr:rowOff>
    </xdr:to>
    <xdr:pic>
      <xdr:nvPicPr>
        <xdr:cNvPr id="20" name="Picture 19">
          <a:extLst>
            <a:ext uri="{FF2B5EF4-FFF2-40B4-BE49-F238E27FC236}">
              <a16:creationId xmlns:a16="http://schemas.microsoft.com/office/drawing/2014/main" id="{94B56DE6-5CA1-41FD-A6AC-E238735ECE3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75748" y="68925281"/>
          <a:ext cx="13102695" cy="6143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133985</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make to Instacart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1088857</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1</xdr:col>
      <xdr:colOff>1133474</xdr:colOff>
      <xdr:row>33</xdr:row>
      <xdr:rowOff>38099</xdr:rowOff>
    </xdr:from>
    <xdr:to>
      <xdr:col>10</xdr:col>
      <xdr:colOff>16191</xdr:colOff>
      <xdr:row>47</xdr:row>
      <xdr:rowOff>173354</xdr:rowOff>
    </xdr:to>
    <xdr:pic>
      <xdr:nvPicPr>
        <xdr:cNvPr id="7" name="Picture 6">
          <a:extLst>
            <a:ext uri="{FF2B5EF4-FFF2-40B4-BE49-F238E27FC236}">
              <a16:creationId xmlns:a16="http://schemas.microsoft.com/office/drawing/2014/main" id="{3D0AE5BD-D240-6941-A33B-5546FE4AB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524" y="5819774"/>
          <a:ext cx="5419725" cy="3949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57149</xdr:colOff>
      <xdr:row>80</xdr:row>
      <xdr:rowOff>28286</xdr:rowOff>
    </xdr:from>
    <xdr:to>
      <xdr:col>9</xdr:col>
      <xdr:colOff>722471</xdr:colOff>
      <xdr:row>92</xdr:row>
      <xdr:rowOff>36196</xdr:rowOff>
    </xdr:to>
    <xdr:pic>
      <xdr:nvPicPr>
        <xdr:cNvPr id="8" name="Picture 7">
          <a:extLst>
            <a:ext uri="{FF2B5EF4-FFF2-40B4-BE49-F238E27FC236}">
              <a16:creationId xmlns:a16="http://schemas.microsoft.com/office/drawing/2014/main" id="{9D026ED5-51E2-0CBB-44DB-C4C932BC1F6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90674" y="16287461"/>
          <a:ext cx="5351145" cy="2874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1123950</xdr:colOff>
      <xdr:row>148</xdr:row>
      <xdr:rowOff>57150</xdr:rowOff>
    </xdr:from>
    <xdr:to>
      <xdr:col>9</xdr:col>
      <xdr:colOff>625316</xdr:colOff>
      <xdr:row>163</xdr:row>
      <xdr:rowOff>91440</xdr:rowOff>
    </xdr:to>
    <xdr:pic>
      <xdr:nvPicPr>
        <xdr:cNvPr id="9" name="Picture 8">
          <a:extLst>
            <a:ext uri="{FF2B5EF4-FFF2-40B4-BE49-F238E27FC236}">
              <a16:creationId xmlns:a16="http://schemas.microsoft.com/office/drawing/2014/main" id="{E939C373-3811-51E4-3963-7FF25E6F5E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 y="27622500"/>
          <a:ext cx="529209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191928</xdr:colOff>
      <xdr:row>321</xdr:row>
      <xdr:rowOff>198121</xdr:rowOff>
    </xdr:from>
    <xdr:to>
      <xdr:col>10</xdr:col>
      <xdr:colOff>325755</xdr:colOff>
      <xdr:row>341</xdr:row>
      <xdr:rowOff>15241</xdr:rowOff>
    </xdr:to>
    <xdr:pic>
      <xdr:nvPicPr>
        <xdr:cNvPr id="14" name="Picture 13">
          <a:extLst>
            <a:ext uri="{FF2B5EF4-FFF2-40B4-BE49-F238E27FC236}">
              <a16:creationId xmlns:a16="http://schemas.microsoft.com/office/drawing/2014/main" id="{83FF9B84-1535-F6A3-1558-B3ECB814BD8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34991" y="68599527"/>
          <a:ext cx="5523548" cy="409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216217</xdr:colOff>
      <xdr:row>252</xdr:row>
      <xdr:rowOff>142875</xdr:rowOff>
    </xdr:from>
    <xdr:to>
      <xdr:col>8</xdr:col>
      <xdr:colOff>494346</xdr:colOff>
      <xdr:row>264</xdr:row>
      <xdr:rowOff>57926</xdr:rowOff>
    </xdr:to>
    <xdr:pic>
      <xdr:nvPicPr>
        <xdr:cNvPr id="16" name="Picture 15">
          <a:extLst>
            <a:ext uri="{FF2B5EF4-FFF2-40B4-BE49-F238E27FC236}">
              <a16:creationId xmlns:a16="http://schemas.microsoft.com/office/drawing/2014/main" id="{F4A57794-4A43-4A9D-BD15-BF6A640EDF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52123" y="53220938"/>
          <a:ext cx="4080509" cy="4287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224314</xdr:colOff>
      <xdr:row>104</xdr:row>
      <xdr:rowOff>129064</xdr:rowOff>
    </xdr:from>
    <xdr:to>
      <xdr:col>11</xdr:col>
      <xdr:colOff>587216</xdr:colOff>
      <xdr:row>120</xdr:row>
      <xdr:rowOff>952</xdr:rowOff>
    </xdr:to>
    <xdr:pic>
      <xdr:nvPicPr>
        <xdr:cNvPr id="10" name="Picture 9">
          <a:extLst>
            <a:ext uri="{FF2B5EF4-FFF2-40B4-BE49-F238E27FC236}">
              <a16:creationId xmlns:a16="http://schemas.microsoft.com/office/drawing/2014/main" id="{B638053A-B792-69EF-7356-C397FECAFA5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784283" y="28585002"/>
          <a:ext cx="4350543" cy="3102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199073</xdr:colOff>
      <xdr:row>383</xdr:row>
      <xdr:rowOff>46198</xdr:rowOff>
    </xdr:from>
    <xdr:to>
      <xdr:col>9</xdr:col>
      <xdr:colOff>553403</xdr:colOff>
      <xdr:row>396</xdr:row>
      <xdr:rowOff>54770</xdr:rowOff>
    </xdr:to>
    <xdr:pic>
      <xdr:nvPicPr>
        <xdr:cNvPr id="11" name="Picture 10">
          <a:extLst>
            <a:ext uri="{FF2B5EF4-FFF2-40B4-BE49-F238E27FC236}">
              <a16:creationId xmlns:a16="http://schemas.microsoft.com/office/drawing/2014/main" id="{FC839798-59F0-1349-CA5C-568F10A7B3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11042" y="71876604"/>
          <a:ext cx="6119336" cy="2636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464344</xdr:colOff>
      <xdr:row>398</xdr:row>
      <xdr:rowOff>11906</xdr:rowOff>
    </xdr:from>
    <xdr:to>
      <xdr:col>9</xdr:col>
      <xdr:colOff>205740</xdr:colOff>
      <xdr:row>411</xdr:row>
      <xdr:rowOff>55721</xdr:rowOff>
    </xdr:to>
    <xdr:pic>
      <xdr:nvPicPr>
        <xdr:cNvPr id="17" name="Picture 16">
          <a:extLst>
            <a:ext uri="{FF2B5EF4-FFF2-40B4-BE49-F238E27FC236}">
              <a16:creationId xmlns:a16="http://schemas.microsoft.com/office/drawing/2014/main" id="{C3C7D64D-7297-4E5F-D36E-FB19D14042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64344" y="74878406"/>
          <a:ext cx="6031706" cy="2688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430</xdr:row>
      <xdr:rowOff>0</xdr:rowOff>
    </xdr:from>
    <xdr:to>
      <xdr:col>9</xdr:col>
      <xdr:colOff>682943</xdr:colOff>
      <xdr:row>442</xdr:row>
      <xdr:rowOff>91440</xdr:rowOff>
    </xdr:to>
    <xdr:pic>
      <xdr:nvPicPr>
        <xdr:cNvPr id="18" name="Picture 17">
          <a:extLst>
            <a:ext uri="{FF2B5EF4-FFF2-40B4-BE49-F238E27FC236}">
              <a16:creationId xmlns:a16="http://schemas.microsoft.com/office/drawing/2014/main" id="{E3FDDD03-3249-510E-E4C8-34C71D65570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18160" y="80398620"/>
          <a:ext cx="6499860" cy="2583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444</xdr:row>
      <xdr:rowOff>0</xdr:rowOff>
    </xdr:from>
    <xdr:to>
      <xdr:col>9</xdr:col>
      <xdr:colOff>478155</xdr:colOff>
      <xdr:row>457</xdr:row>
      <xdr:rowOff>15240</xdr:rowOff>
    </xdr:to>
    <xdr:pic>
      <xdr:nvPicPr>
        <xdr:cNvPr id="19" name="Picture 18">
          <a:extLst>
            <a:ext uri="{FF2B5EF4-FFF2-40B4-BE49-F238E27FC236}">
              <a16:creationId xmlns:a16="http://schemas.microsoft.com/office/drawing/2014/main" id="{059B1B3C-A778-75B9-FE2C-3DC63C792DF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18160" y="83294220"/>
          <a:ext cx="6294120"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520</xdr:row>
      <xdr:rowOff>0</xdr:rowOff>
    </xdr:from>
    <xdr:to>
      <xdr:col>10</xdr:col>
      <xdr:colOff>476250</xdr:colOff>
      <xdr:row>543</xdr:row>
      <xdr:rowOff>58579</xdr:rowOff>
    </xdr:to>
    <xdr:pic>
      <xdr:nvPicPr>
        <xdr:cNvPr id="20" name="Picture 19">
          <a:extLst>
            <a:ext uri="{FF2B5EF4-FFF2-40B4-BE49-F238E27FC236}">
              <a16:creationId xmlns:a16="http://schemas.microsoft.com/office/drawing/2014/main" id="{093444F8-3BE9-F76F-09F0-46DC1779EBB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8160" y="91920060"/>
          <a:ext cx="7040880" cy="435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6192</xdr:colOff>
      <xdr:row>544</xdr:row>
      <xdr:rowOff>77152</xdr:rowOff>
    </xdr:from>
    <xdr:to>
      <xdr:col>12</xdr:col>
      <xdr:colOff>592455</xdr:colOff>
      <xdr:row>566</xdr:row>
      <xdr:rowOff>213269</xdr:rowOff>
    </xdr:to>
    <xdr:pic>
      <xdr:nvPicPr>
        <xdr:cNvPr id="21" name="Picture 20">
          <a:extLst>
            <a:ext uri="{FF2B5EF4-FFF2-40B4-BE49-F238E27FC236}">
              <a16:creationId xmlns:a16="http://schemas.microsoft.com/office/drawing/2014/main" id="{BC2BCE62-6E2B-E92B-B00A-F01CDD0F6A7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192" y="97767933"/>
          <a:ext cx="8877299" cy="420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590</xdr:row>
      <xdr:rowOff>0</xdr:rowOff>
    </xdr:from>
    <xdr:to>
      <xdr:col>10</xdr:col>
      <xdr:colOff>440055</xdr:colOff>
      <xdr:row>614</xdr:row>
      <xdr:rowOff>135255</xdr:rowOff>
    </xdr:to>
    <xdr:pic>
      <xdr:nvPicPr>
        <xdr:cNvPr id="22" name="Picture 21">
          <a:extLst>
            <a:ext uri="{FF2B5EF4-FFF2-40B4-BE49-F238E27FC236}">
              <a16:creationId xmlns:a16="http://schemas.microsoft.com/office/drawing/2014/main" id="{68DD0B11-62DD-D547-2F17-A52FCB90B94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18160" y="105605580"/>
          <a:ext cx="7010400" cy="453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67628</xdr:colOff>
      <xdr:row>616</xdr:row>
      <xdr:rowOff>154783</xdr:rowOff>
    </xdr:from>
    <xdr:to>
      <xdr:col>12</xdr:col>
      <xdr:colOff>626723</xdr:colOff>
      <xdr:row>640</xdr:row>
      <xdr:rowOff>19527</xdr:rowOff>
    </xdr:to>
    <xdr:pic>
      <xdr:nvPicPr>
        <xdr:cNvPr id="23" name="Picture 22">
          <a:extLst>
            <a:ext uri="{FF2B5EF4-FFF2-40B4-BE49-F238E27FC236}">
              <a16:creationId xmlns:a16="http://schemas.microsoft.com/office/drawing/2014/main" id="{FDBFC8F7-83AF-24E2-45A9-0930E42C3E4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7628" y="113478471"/>
          <a:ext cx="8848226" cy="4143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315277</xdr:colOff>
      <xdr:row>345</xdr:row>
      <xdr:rowOff>87155</xdr:rowOff>
    </xdr:from>
    <xdr:to>
      <xdr:col>10</xdr:col>
      <xdr:colOff>287179</xdr:colOff>
      <xdr:row>364</xdr:row>
      <xdr:rowOff>78582</xdr:rowOff>
    </xdr:to>
    <xdr:pic>
      <xdr:nvPicPr>
        <xdr:cNvPr id="24" name="Picture 23">
          <a:extLst>
            <a:ext uri="{FF2B5EF4-FFF2-40B4-BE49-F238E27FC236}">
              <a16:creationId xmlns:a16="http://schemas.microsoft.com/office/drawing/2014/main" id="{5909CC6F-A89E-42BD-AB3C-7A2F1F717F0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958340" y="73632061"/>
          <a:ext cx="5354003" cy="4063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U29"/>
  <sheetViews>
    <sheetView showGridLines="0" tabSelected="1" zoomScale="80" zoomScaleNormal="80" workbookViewId="0">
      <selection activeCell="I1" sqref="I1"/>
    </sheetView>
  </sheetViews>
  <sheetFormatPr defaultColWidth="8.77734375" defaultRowHeight="14.4"/>
  <sheetData>
    <row r="13" spans="2:2" ht="15.6">
      <c r="B13" s="21" t="s">
        <v>0</v>
      </c>
    </row>
    <row r="14" spans="2:2">
      <c r="B14" s="20" t="s">
        <v>15</v>
      </c>
    </row>
    <row r="15" spans="2:2">
      <c r="B15" s="20" t="s">
        <v>16</v>
      </c>
    </row>
    <row r="16" spans="2:2">
      <c r="B16" s="20" t="s">
        <v>17</v>
      </c>
    </row>
    <row r="17" spans="2:21">
      <c r="B17" s="20" t="s">
        <v>18</v>
      </c>
    </row>
    <row r="18" spans="2:21">
      <c r="B18" s="20" t="s">
        <v>20</v>
      </c>
    </row>
    <row r="19" spans="2:21">
      <c r="B19" s="20" t="s">
        <v>26</v>
      </c>
    </row>
    <row r="24" spans="2:21" ht="18">
      <c r="B24" s="151" t="s">
        <v>263</v>
      </c>
      <c r="C24" s="152"/>
      <c r="D24" s="152"/>
      <c r="E24" s="152"/>
      <c r="F24" s="152"/>
      <c r="G24" s="152"/>
      <c r="H24" s="152"/>
      <c r="I24" s="152"/>
      <c r="J24" s="152"/>
      <c r="K24" s="152"/>
      <c r="L24" s="152"/>
      <c r="M24" s="152"/>
      <c r="N24" s="152"/>
      <c r="O24" s="152"/>
      <c r="P24" s="152"/>
      <c r="Q24" s="59"/>
      <c r="R24" s="59"/>
      <c r="S24" s="59"/>
      <c r="T24" s="59"/>
      <c r="U24" s="59"/>
    </row>
    <row r="25" spans="2:21" ht="18">
      <c r="B25" s="152"/>
      <c r="C25" s="152"/>
      <c r="D25" s="152"/>
      <c r="E25" s="152"/>
      <c r="F25" s="152"/>
      <c r="G25" s="152"/>
      <c r="H25" s="152"/>
      <c r="I25" s="152"/>
      <c r="J25" s="152"/>
      <c r="K25" s="152"/>
      <c r="L25" s="152"/>
      <c r="M25" s="152"/>
      <c r="N25" s="152"/>
      <c r="O25" s="152"/>
      <c r="P25" s="152"/>
      <c r="Q25" s="59"/>
      <c r="R25" s="59"/>
      <c r="S25" s="59"/>
      <c r="T25" s="59"/>
      <c r="U25" s="59"/>
    </row>
    <row r="26" spans="2:21" ht="18">
      <c r="B26" s="153" t="s">
        <v>369</v>
      </c>
      <c r="C26" s="152"/>
      <c r="D26" s="152"/>
      <c r="E26" s="152"/>
      <c r="F26" s="152"/>
      <c r="G26" s="152"/>
      <c r="H26" s="152"/>
      <c r="I26" s="152"/>
      <c r="J26" s="152"/>
      <c r="K26" s="152"/>
      <c r="L26" s="152"/>
      <c r="M26" s="152"/>
      <c r="N26" s="152"/>
      <c r="O26" s="152"/>
      <c r="P26" s="152"/>
      <c r="Q26" s="59"/>
      <c r="R26" s="59"/>
      <c r="S26" s="59"/>
      <c r="T26" s="59"/>
      <c r="U26" s="59"/>
    </row>
    <row r="27" spans="2:21" ht="18">
      <c r="B27" s="152"/>
      <c r="C27" s="152"/>
      <c r="D27" s="152"/>
      <c r="E27" s="152"/>
      <c r="F27" s="152"/>
      <c r="G27" s="152"/>
      <c r="H27" s="152"/>
      <c r="I27" s="152"/>
      <c r="J27" s="152"/>
      <c r="K27" s="152"/>
      <c r="L27" s="152"/>
      <c r="M27" s="152"/>
      <c r="N27" s="152"/>
      <c r="O27" s="152"/>
      <c r="P27" s="152"/>
      <c r="Q27" s="59"/>
      <c r="R27" s="59"/>
      <c r="S27" s="59"/>
      <c r="T27" s="59"/>
      <c r="U27" s="59"/>
    </row>
    <row r="28" spans="2:21" ht="18">
      <c r="B28" s="152" t="s">
        <v>264</v>
      </c>
      <c r="C28" s="152"/>
      <c r="D28" s="152"/>
      <c r="E28" s="152"/>
      <c r="F28" s="152"/>
      <c r="G28" s="152"/>
      <c r="H28" s="152"/>
      <c r="I28" s="152"/>
      <c r="J28" s="152"/>
      <c r="K28" s="152"/>
      <c r="L28" s="152"/>
      <c r="M28" s="152"/>
      <c r="N28" s="152"/>
      <c r="O28" s="152"/>
      <c r="P28" s="152"/>
      <c r="Q28" s="59"/>
      <c r="R28" s="59"/>
      <c r="S28" s="59"/>
      <c r="T28" s="59"/>
      <c r="U28" s="59"/>
    </row>
    <row r="29" spans="2:21" ht="18">
      <c r="B29" s="152"/>
      <c r="C29" s="152"/>
      <c r="D29" s="152"/>
      <c r="E29" s="152"/>
      <c r="F29" s="152"/>
      <c r="G29" s="152"/>
      <c r="H29" s="152"/>
      <c r="I29" s="152"/>
      <c r="J29" s="152"/>
      <c r="K29" s="152"/>
      <c r="L29" s="152"/>
      <c r="M29" s="152"/>
      <c r="N29" s="152"/>
      <c r="O29" s="152"/>
      <c r="P29" s="152"/>
      <c r="Q29" s="59"/>
      <c r="R29" s="59"/>
      <c r="S29" s="59"/>
      <c r="T29" s="59"/>
      <c r="U29" s="59"/>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AD27"/>
  <sheetViews>
    <sheetView showGridLines="0" zoomScale="60" zoomScaleNormal="60" workbookViewId="0">
      <selection activeCell="N45" sqref="N45"/>
    </sheetView>
  </sheetViews>
  <sheetFormatPr defaultColWidth="8.6640625" defaultRowHeight="13.2"/>
  <cols>
    <col min="1" max="1" width="5.44140625" style="1" customWidth="1"/>
    <col min="2" max="4" width="8.6640625" style="1"/>
    <col min="5" max="5" width="26.77734375" style="1" customWidth="1"/>
    <col min="6" max="12" width="8.6640625" style="1"/>
    <col min="13" max="13" width="19.33203125" style="1" customWidth="1"/>
    <col min="14" max="14" width="13.5546875" style="1" customWidth="1"/>
    <col min="15" max="15" width="8.6640625" style="1"/>
    <col min="16" max="16" width="18.109375" style="1" customWidth="1"/>
    <col min="17" max="24" width="8.6640625" style="1"/>
    <col min="25" max="25" width="12.77734375" style="1" bestFit="1" customWidth="1"/>
    <col min="26" max="16384" width="8.6640625" style="1"/>
  </cols>
  <sheetData>
    <row r="1" spans="25:25" ht="16.2">
      <c r="Y1" s="22" t="s">
        <v>19</v>
      </c>
    </row>
    <row r="2" spans="25:25" ht="16.2">
      <c r="Y2" s="22"/>
    </row>
    <row r="6" spans="25:25" ht="8.5500000000000007" customHeight="1"/>
    <row r="27" spans="30:30" ht="13.8">
      <c r="AD27" s="112"/>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5"/>
  <sheetViews>
    <sheetView showGridLines="0" zoomScale="80" zoomScaleNormal="80" workbookViewId="0">
      <selection activeCell="C29" sqref="C29"/>
    </sheetView>
  </sheetViews>
  <sheetFormatPr defaultColWidth="8.77734375" defaultRowHeight="14.4"/>
  <cols>
    <col min="1" max="1" width="4.6640625" customWidth="1"/>
    <col min="2" max="2" width="22.33203125" customWidth="1"/>
    <col min="3" max="3" width="31.33203125" bestFit="1" customWidth="1"/>
    <col min="4" max="4" width="47.109375" customWidth="1"/>
    <col min="5" max="5" width="48" bestFit="1" customWidth="1"/>
  </cols>
  <sheetData>
    <row r="1" spans="2:9">
      <c r="I1" s="23" t="s">
        <v>19</v>
      </c>
    </row>
    <row r="5" spans="2:9" ht="15" thickBot="1"/>
    <row r="6" spans="2:9" ht="24.45" customHeight="1" thickTop="1" thickBot="1">
      <c r="B6" s="6" t="s">
        <v>6</v>
      </c>
      <c r="C6" s="7" t="s">
        <v>7</v>
      </c>
      <c r="D6" s="7" t="s">
        <v>8</v>
      </c>
      <c r="E6" s="8" t="s">
        <v>9</v>
      </c>
    </row>
    <row r="7" spans="2:9" ht="15" thickTop="1">
      <c r="B7" s="9" t="s">
        <v>10</v>
      </c>
      <c r="C7" s="10" t="s">
        <v>36</v>
      </c>
      <c r="D7" s="10" t="s">
        <v>39</v>
      </c>
      <c r="E7" s="11" t="s">
        <v>38</v>
      </c>
    </row>
    <row r="8" spans="2:9">
      <c r="B8" s="12" t="s">
        <v>11</v>
      </c>
      <c r="C8" s="13" t="s">
        <v>35</v>
      </c>
      <c r="D8" s="13" t="s">
        <v>34</v>
      </c>
      <c r="E8" s="14" t="s">
        <v>37</v>
      </c>
    </row>
    <row r="9" spans="2:9">
      <c r="B9" s="12" t="s">
        <v>12</v>
      </c>
      <c r="C9" s="13"/>
      <c r="D9" s="13"/>
      <c r="E9" s="14"/>
    </row>
    <row r="10" spans="2:9">
      <c r="B10" s="12" t="s">
        <v>13</v>
      </c>
      <c r="C10" s="13"/>
      <c r="D10" s="13"/>
      <c r="E10" s="14"/>
    </row>
    <row r="11" spans="2:9">
      <c r="B11" s="12"/>
      <c r="C11" s="13"/>
      <c r="D11" s="13"/>
      <c r="E11" s="14"/>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6">
      <c r="B17" s="12"/>
      <c r="C17" s="13"/>
      <c r="D17" s="13"/>
      <c r="E17" s="14"/>
    </row>
    <row r="18" spans="2:6">
      <c r="B18" s="12"/>
      <c r="C18" s="13"/>
      <c r="D18" s="13"/>
      <c r="E18" s="14"/>
    </row>
    <row r="19" spans="2:6">
      <c r="B19" s="12"/>
      <c r="C19" s="13"/>
      <c r="D19" s="13"/>
      <c r="E19" s="14"/>
    </row>
    <row r="20" spans="2:6" ht="15" thickBot="1">
      <c r="B20" s="15"/>
      <c r="C20" s="16"/>
      <c r="D20" s="16"/>
      <c r="E20" s="17"/>
    </row>
    <row r="21" spans="2:6" ht="15" thickTop="1"/>
    <row r="23" spans="2:6" ht="15.6">
      <c r="B23" s="45" t="s">
        <v>40</v>
      </c>
      <c r="C23" s="45" t="s">
        <v>109</v>
      </c>
      <c r="D23" s="45"/>
      <c r="E23" s="45"/>
      <c r="F23" s="37"/>
    </row>
    <row r="25" spans="2:6" ht="15.6">
      <c r="B25" s="45" t="s">
        <v>281</v>
      </c>
      <c r="C25" s="45" t="s">
        <v>284</v>
      </c>
      <c r="D25" s="45"/>
      <c r="E25" s="45"/>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7"/>
  <sheetViews>
    <sheetView showGridLines="0" zoomScale="80" zoomScaleNormal="80" workbookViewId="0">
      <selection activeCell="E30" sqref="E30"/>
    </sheetView>
  </sheetViews>
  <sheetFormatPr defaultColWidth="8.77734375" defaultRowHeight="14.4"/>
  <cols>
    <col min="1" max="1" width="4.44140625" customWidth="1"/>
    <col min="2" max="2" width="23.5546875" bestFit="1" customWidth="1"/>
    <col min="3" max="3" width="38.77734375" bestFit="1" customWidth="1"/>
    <col min="4" max="4" width="24.88671875" bestFit="1" customWidth="1"/>
    <col min="5" max="5" width="124.109375" customWidth="1"/>
  </cols>
  <sheetData>
    <row r="1" spans="2:8">
      <c r="H1" s="23" t="s">
        <v>19</v>
      </c>
    </row>
    <row r="5" spans="2:8" ht="15" thickBot="1"/>
    <row r="6" spans="2:8" ht="22.95" customHeight="1" thickTop="1" thickBot="1">
      <c r="B6" s="6" t="s">
        <v>1</v>
      </c>
      <c r="C6" s="7" t="s">
        <v>2</v>
      </c>
      <c r="D6" s="7" t="s">
        <v>3</v>
      </c>
      <c r="E6" s="8" t="s">
        <v>4</v>
      </c>
    </row>
    <row r="7" spans="2:8" ht="15" thickTop="1">
      <c r="B7" s="30" t="s">
        <v>27</v>
      </c>
      <c r="C7" s="29"/>
      <c r="D7" s="29"/>
      <c r="E7" s="28" t="s">
        <v>30</v>
      </c>
    </row>
    <row r="8" spans="2:8">
      <c r="B8" s="31"/>
      <c r="C8" s="32" t="s">
        <v>28</v>
      </c>
      <c r="D8" s="26"/>
      <c r="E8" s="3" t="s">
        <v>29</v>
      </c>
    </row>
    <row r="9" spans="2:8">
      <c r="B9" s="2"/>
      <c r="C9" s="32"/>
      <c r="D9" s="26" t="s">
        <v>31</v>
      </c>
      <c r="E9" s="3" t="s">
        <v>33</v>
      </c>
    </row>
    <row r="10" spans="2:8">
      <c r="B10" s="2"/>
      <c r="C10" s="32"/>
      <c r="D10" s="26" t="s">
        <v>32</v>
      </c>
      <c r="E10" s="3" t="s">
        <v>33</v>
      </c>
    </row>
    <row r="11" spans="2:8">
      <c r="B11" s="2"/>
      <c r="C11" s="32" t="s">
        <v>165</v>
      </c>
      <c r="D11" s="26"/>
      <c r="E11" s="3" t="s">
        <v>170</v>
      </c>
    </row>
    <row r="12" spans="2:8">
      <c r="B12" s="2"/>
      <c r="C12" s="32" t="s">
        <v>166</v>
      </c>
      <c r="D12" s="26"/>
      <c r="E12" s="3" t="s">
        <v>171</v>
      </c>
    </row>
    <row r="13" spans="2:8">
      <c r="B13" s="2"/>
      <c r="C13" s="32" t="s">
        <v>168</v>
      </c>
      <c r="D13" s="26"/>
      <c r="E13" s="3" t="s">
        <v>172</v>
      </c>
    </row>
    <row r="14" spans="2:8">
      <c r="B14" s="2"/>
      <c r="C14" s="32" t="s">
        <v>184</v>
      </c>
      <c r="D14" s="26"/>
      <c r="E14" s="3" t="s">
        <v>174</v>
      </c>
    </row>
    <row r="15" spans="2:8">
      <c r="B15" s="2"/>
      <c r="C15" s="32" t="s">
        <v>167</v>
      </c>
      <c r="D15" s="26"/>
      <c r="E15" s="3" t="s">
        <v>173</v>
      </c>
    </row>
    <row r="16" spans="2:8">
      <c r="B16" s="2"/>
      <c r="C16" s="32" t="s">
        <v>169</v>
      </c>
      <c r="D16" s="26"/>
      <c r="E16" s="3" t="s">
        <v>174</v>
      </c>
    </row>
    <row r="17" spans="2:5">
      <c r="B17" s="2"/>
      <c r="C17" s="32"/>
      <c r="D17" s="26" t="s">
        <v>32</v>
      </c>
      <c r="E17" s="3" t="s">
        <v>175</v>
      </c>
    </row>
    <row r="18" spans="2:5">
      <c r="B18" s="2"/>
      <c r="C18" s="32"/>
      <c r="D18" s="26" t="s">
        <v>176</v>
      </c>
      <c r="E18" s="3" t="s">
        <v>183</v>
      </c>
    </row>
    <row r="19" spans="2:5">
      <c r="B19" s="2"/>
      <c r="C19" s="32"/>
      <c r="D19" s="26" t="s">
        <v>177</v>
      </c>
      <c r="E19" s="3" t="s">
        <v>183</v>
      </c>
    </row>
    <row r="20" spans="2:5">
      <c r="B20" s="2"/>
      <c r="C20" s="32"/>
      <c r="D20" s="26" t="s">
        <v>178</v>
      </c>
      <c r="E20" s="3" t="s">
        <v>183</v>
      </c>
    </row>
    <row r="21" spans="2:5">
      <c r="B21" s="2"/>
      <c r="C21" s="32"/>
      <c r="D21" s="26" t="s">
        <v>179</v>
      </c>
      <c r="E21" s="3" t="s">
        <v>183</v>
      </c>
    </row>
    <row r="22" spans="2:5">
      <c r="B22" s="2"/>
      <c r="C22" s="32"/>
      <c r="D22" s="26" t="s">
        <v>180</v>
      </c>
      <c r="E22" s="3" t="s">
        <v>183</v>
      </c>
    </row>
    <row r="23" spans="2:5">
      <c r="B23" s="2"/>
      <c r="C23" s="32"/>
      <c r="D23" s="26" t="s">
        <v>181</v>
      </c>
      <c r="E23" s="3" t="s">
        <v>182</v>
      </c>
    </row>
    <row r="24" spans="2:5">
      <c r="B24" s="2"/>
      <c r="C24" s="32"/>
      <c r="D24" s="26"/>
      <c r="E24" s="3"/>
    </row>
    <row r="25" spans="2:5">
      <c r="B25" s="2"/>
      <c r="C25" s="32"/>
      <c r="D25" s="26"/>
      <c r="E25" s="3"/>
    </row>
    <row r="26" spans="2:5" ht="15" thickBot="1">
      <c r="B26" s="4"/>
      <c r="C26" s="33"/>
      <c r="D26" s="27"/>
      <c r="E26" s="5"/>
    </row>
    <row r="27"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57"/>
  <sheetViews>
    <sheetView showGridLines="0" zoomScale="80" zoomScaleNormal="80" workbookViewId="0">
      <selection activeCell="E37" sqref="E37"/>
    </sheetView>
  </sheetViews>
  <sheetFormatPr defaultColWidth="8.77734375" defaultRowHeight="14.4"/>
  <cols>
    <col min="1" max="1" width="4.33203125" customWidth="1"/>
    <col min="2" max="2" width="19.33203125" customWidth="1"/>
    <col min="3" max="3" width="31.5546875" customWidth="1"/>
    <col min="4" max="4" width="30.88671875" customWidth="1"/>
    <col min="5" max="5" width="90.5546875" customWidth="1"/>
  </cols>
  <sheetData>
    <row r="1" spans="2:15">
      <c r="K1" s="23" t="s">
        <v>19</v>
      </c>
    </row>
    <row r="5" spans="2:15" ht="15" thickBot="1"/>
    <row r="6" spans="2:15" ht="21.45" customHeight="1" thickTop="1" thickBot="1">
      <c r="B6" s="6" t="s">
        <v>6</v>
      </c>
      <c r="C6" s="7" t="s">
        <v>5</v>
      </c>
      <c r="D6" s="7" t="s">
        <v>14</v>
      </c>
      <c r="E6" s="8" t="s">
        <v>25</v>
      </c>
    </row>
    <row r="7" spans="2:15" ht="15" thickTop="1">
      <c r="B7" s="18" t="s">
        <v>40</v>
      </c>
      <c r="C7" s="19" t="s">
        <v>41</v>
      </c>
      <c r="D7" s="19" t="s">
        <v>42</v>
      </c>
      <c r="E7" s="24" t="s">
        <v>43</v>
      </c>
    </row>
    <row r="8" spans="2:15">
      <c r="B8" s="18" t="s">
        <v>40</v>
      </c>
      <c r="C8" s="13" t="s">
        <v>48</v>
      </c>
      <c r="D8" s="13" t="s">
        <v>51</v>
      </c>
      <c r="E8" s="14" t="s">
        <v>52</v>
      </c>
    </row>
    <row r="9" spans="2:15" ht="15.6">
      <c r="B9" s="61" t="s">
        <v>40</v>
      </c>
      <c r="C9" s="62" t="s">
        <v>49</v>
      </c>
      <c r="D9" s="62" t="s">
        <v>51</v>
      </c>
      <c r="E9" s="63" t="s">
        <v>57</v>
      </c>
      <c r="F9" s="59"/>
      <c r="G9" s="60" t="s">
        <v>110</v>
      </c>
      <c r="H9" s="59"/>
      <c r="I9" s="59"/>
      <c r="J9" s="59"/>
      <c r="K9" s="59"/>
      <c r="L9" s="59"/>
      <c r="M9" s="59"/>
      <c r="N9" s="59"/>
      <c r="O9" s="59"/>
    </row>
    <row r="10" spans="2:15">
      <c r="B10" s="18" t="s">
        <v>40</v>
      </c>
      <c r="C10" s="13" t="s">
        <v>50</v>
      </c>
      <c r="D10" s="13" t="s">
        <v>69</v>
      </c>
      <c r="E10" s="14" t="s">
        <v>70</v>
      </c>
    </row>
    <row r="11" spans="2:15">
      <c r="B11" s="18" t="s">
        <v>40</v>
      </c>
      <c r="C11" s="13" t="s">
        <v>111</v>
      </c>
      <c r="D11" s="13" t="s">
        <v>112</v>
      </c>
      <c r="E11" s="14" t="s">
        <v>113</v>
      </c>
    </row>
    <row r="12" spans="2:15">
      <c r="B12" s="18" t="s">
        <v>40</v>
      </c>
      <c r="C12" s="13" t="s">
        <v>114</v>
      </c>
      <c r="D12" s="13" t="s">
        <v>111</v>
      </c>
      <c r="E12" s="14" t="s">
        <v>115</v>
      </c>
    </row>
    <row r="13" spans="2:15">
      <c r="B13" s="18" t="s">
        <v>40</v>
      </c>
      <c r="C13" s="13" t="s">
        <v>119</v>
      </c>
      <c r="D13" s="13" t="s">
        <v>120</v>
      </c>
      <c r="E13" s="14" t="s">
        <v>121</v>
      </c>
    </row>
    <row r="14" spans="2:15">
      <c r="B14" s="18" t="s">
        <v>40</v>
      </c>
      <c r="C14" s="13" t="s">
        <v>122</v>
      </c>
      <c r="D14" s="13" t="s">
        <v>119</v>
      </c>
      <c r="E14" s="14" t="s">
        <v>123</v>
      </c>
    </row>
    <row r="15" spans="2:15">
      <c r="B15" s="18" t="s">
        <v>40</v>
      </c>
      <c r="C15" s="13" t="s">
        <v>126</v>
      </c>
      <c r="D15" s="13" t="s">
        <v>127</v>
      </c>
      <c r="E15" s="14" t="s">
        <v>128</v>
      </c>
    </row>
    <row r="16" spans="2:15">
      <c r="B16" s="18" t="s">
        <v>40</v>
      </c>
      <c r="C16" s="13" t="s">
        <v>129</v>
      </c>
      <c r="D16" s="13" t="s">
        <v>126</v>
      </c>
      <c r="E16" s="14" t="s">
        <v>130</v>
      </c>
    </row>
    <row r="17" spans="2:10">
      <c r="B17" s="12" t="s">
        <v>281</v>
      </c>
      <c r="C17" s="13" t="s">
        <v>265</v>
      </c>
      <c r="D17" s="13" t="s">
        <v>282</v>
      </c>
      <c r="E17" s="14" t="s">
        <v>283</v>
      </c>
    </row>
    <row r="18" spans="2:10">
      <c r="B18" s="12" t="s">
        <v>281</v>
      </c>
      <c r="C18" s="13" t="s">
        <v>337</v>
      </c>
      <c r="D18" s="13" t="s">
        <v>364</v>
      </c>
      <c r="E18" s="14" t="s">
        <v>366</v>
      </c>
    </row>
    <row r="19" spans="2:10">
      <c r="B19" s="12" t="s">
        <v>281</v>
      </c>
      <c r="C19" s="13" t="s">
        <v>341</v>
      </c>
      <c r="D19" s="13" t="s">
        <v>365</v>
      </c>
      <c r="E19" s="14" t="s">
        <v>367</v>
      </c>
    </row>
    <row r="20" spans="2:10" ht="15" thickBot="1">
      <c r="B20" s="12" t="s">
        <v>281</v>
      </c>
      <c r="C20" s="16" t="s">
        <v>342</v>
      </c>
      <c r="D20" s="25" t="s">
        <v>42</v>
      </c>
      <c r="E20" s="17" t="s">
        <v>368</v>
      </c>
    </row>
    <row r="21" spans="2:10" ht="15" thickTop="1"/>
    <row r="22" spans="2:10" ht="15.6">
      <c r="B22" s="36" t="s">
        <v>53</v>
      </c>
      <c r="F22" s="37" t="s">
        <v>68</v>
      </c>
    </row>
    <row r="24" spans="2:10" ht="15.6">
      <c r="B24" s="35" t="s">
        <v>41</v>
      </c>
      <c r="D24" s="35" t="s">
        <v>48</v>
      </c>
      <c r="E24" s="35" t="s">
        <v>49</v>
      </c>
      <c r="F24" s="35" t="s">
        <v>51</v>
      </c>
    </row>
    <row r="25" spans="2:10" ht="15.6">
      <c r="B25" s="35" t="s">
        <v>44</v>
      </c>
      <c r="D25" s="35" t="s">
        <v>54</v>
      </c>
      <c r="E25" s="35" t="s">
        <v>65</v>
      </c>
      <c r="F25" s="35" t="s">
        <v>58</v>
      </c>
      <c r="I25" s="38"/>
      <c r="J25" s="38"/>
    </row>
    <row r="26" spans="2:10" ht="15.6">
      <c r="B26" s="35" t="s">
        <v>45</v>
      </c>
      <c r="D26" s="35" t="s">
        <v>55</v>
      </c>
      <c r="E26" s="35" t="s">
        <v>66</v>
      </c>
      <c r="F26" s="35" t="s">
        <v>59</v>
      </c>
      <c r="I26" s="38"/>
      <c r="J26" s="38"/>
    </row>
    <row r="27" spans="2:10" ht="15.6">
      <c r="B27" s="35" t="s">
        <v>46</v>
      </c>
      <c r="D27" s="35" t="s">
        <v>56</v>
      </c>
      <c r="E27" s="35" t="s">
        <v>67</v>
      </c>
      <c r="F27" s="35" t="s">
        <v>60</v>
      </c>
      <c r="I27" s="38"/>
      <c r="J27" s="38"/>
    </row>
    <row r="28" spans="2:10" ht="15.6">
      <c r="B28" s="35" t="s">
        <v>47</v>
      </c>
      <c r="D28" s="35" t="s">
        <v>47</v>
      </c>
      <c r="E28" s="35" t="s">
        <v>47</v>
      </c>
      <c r="F28" s="35" t="s">
        <v>61</v>
      </c>
      <c r="I28" s="38"/>
      <c r="J28" s="38"/>
    </row>
    <row r="29" spans="2:10" ht="15.6">
      <c r="E29" s="34"/>
      <c r="F29" s="35" t="s">
        <v>62</v>
      </c>
      <c r="I29" s="38"/>
      <c r="J29" s="38"/>
    </row>
    <row r="30" spans="2:10" ht="15.6">
      <c r="B30" s="35" t="s">
        <v>50</v>
      </c>
      <c r="D30" s="35" t="s">
        <v>114</v>
      </c>
      <c r="E30" s="35" t="s">
        <v>122</v>
      </c>
      <c r="F30" s="35" t="s">
        <v>63</v>
      </c>
      <c r="I30" s="38"/>
      <c r="J30" s="38"/>
    </row>
    <row r="31" spans="2:10" ht="15.6">
      <c r="B31" s="35" t="s">
        <v>71</v>
      </c>
      <c r="D31" s="35" t="s">
        <v>116</v>
      </c>
      <c r="E31" s="35" t="s">
        <v>124</v>
      </c>
      <c r="F31" s="35" t="s">
        <v>64</v>
      </c>
      <c r="I31" s="38"/>
      <c r="J31" s="38"/>
    </row>
    <row r="32" spans="2:10" ht="15.6">
      <c r="B32" s="35" t="s">
        <v>72</v>
      </c>
      <c r="D32" s="35" t="s">
        <v>117</v>
      </c>
      <c r="E32" s="35" t="s">
        <v>125</v>
      </c>
      <c r="F32" s="35" t="s">
        <v>47</v>
      </c>
    </row>
    <row r="33" spans="2:13" ht="15.6">
      <c r="B33" s="35" t="s">
        <v>73</v>
      </c>
      <c r="D33" s="35" t="s">
        <v>118</v>
      </c>
      <c r="E33" s="35" t="s">
        <v>47</v>
      </c>
    </row>
    <row r="34" spans="2:13" ht="15.6">
      <c r="B34" s="35" t="s">
        <v>47</v>
      </c>
      <c r="D34" s="35" t="s">
        <v>47</v>
      </c>
      <c r="F34" s="73" t="s">
        <v>164</v>
      </c>
      <c r="G34" s="37"/>
      <c r="H34" s="37"/>
      <c r="I34" s="37"/>
      <c r="J34" s="37"/>
      <c r="K34" s="37"/>
      <c r="L34" s="37"/>
      <c r="M34" s="37"/>
    </row>
    <row r="36" spans="2:13" ht="15.6">
      <c r="B36" s="35" t="s">
        <v>129</v>
      </c>
      <c r="F36" t="s">
        <v>137</v>
      </c>
      <c r="H36" t="s">
        <v>138</v>
      </c>
    </row>
    <row r="37" spans="2:13" ht="15.6">
      <c r="B37" s="35" t="s">
        <v>131</v>
      </c>
      <c r="F37">
        <v>1</v>
      </c>
      <c r="H37" t="s">
        <v>139</v>
      </c>
    </row>
    <row r="38" spans="2:13" ht="15.6">
      <c r="B38" s="35" t="s">
        <v>132</v>
      </c>
      <c r="F38">
        <v>2</v>
      </c>
      <c r="H38" t="s">
        <v>140</v>
      </c>
    </row>
    <row r="39" spans="2:13" ht="15.6">
      <c r="B39" s="35" t="s">
        <v>133</v>
      </c>
      <c r="F39">
        <v>3</v>
      </c>
      <c r="H39" t="s">
        <v>141</v>
      </c>
    </row>
    <row r="40" spans="2:13" ht="15.6">
      <c r="B40" s="35" t="s">
        <v>47</v>
      </c>
      <c r="F40">
        <v>4</v>
      </c>
      <c r="H40" t="s">
        <v>142</v>
      </c>
    </row>
    <row r="41" spans="2:13">
      <c r="F41">
        <v>5</v>
      </c>
      <c r="H41" t="s">
        <v>143</v>
      </c>
    </row>
    <row r="42" spans="2:13">
      <c r="F42">
        <v>6</v>
      </c>
      <c r="H42" t="s">
        <v>144</v>
      </c>
    </row>
    <row r="43" spans="2:13">
      <c r="F43">
        <v>7</v>
      </c>
      <c r="H43" t="s">
        <v>145</v>
      </c>
    </row>
    <row r="44" spans="2:13">
      <c r="F44">
        <v>8</v>
      </c>
      <c r="H44" t="s">
        <v>146</v>
      </c>
    </row>
    <row r="45" spans="2:13">
      <c r="F45">
        <v>9</v>
      </c>
      <c r="H45" t="s">
        <v>147</v>
      </c>
    </row>
    <row r="46" spans="2:13">
      <c r="F46">
        <v>10</v>
      </c>
      <c r="H46" t="s">
        <v>148</v>
      </c>
    </row>
    <row r="47" spans="2:13">
      <c r="F47">
        <v>11</v>
      </c>
      <c r="H47" t="s">
        <v>149</v>
      </c>
    </row>
    <row r="48" spans="2:13">
      <c r="F48">
        <v>12</v>
      </c>
      <c r="H48" t="s">
        <v>150</v>
      </c>
    </row>
    <row r="49" spans="6:8">
      <c r="F49">
        <v>13</v>
      </c>
      <c r="H49" t="s">
        <v>151</v>
      </c>
    </row>
    <row r="50" spans="6:8">
      <c r="F50">
        <v>14</v>
      </c>
      <c r="H50" t="s">
        <v>152</v>
      </c>
    </row>
    <row r="51" spans="6:8">
      <c r="F51">
        <v>15</v>
      </c>
      <c r="H51" t="s">
        <v>153</v>
      </c>
    </row>
    <row r="52" spans="6:8">
      <c r="F52">
        <v>16</v>
      </c>
      <c r="H52" t="s">
        <v>154</v>
      </c>
    </row>
    <row r="53" spans="6:8">
      <c r="F53">
        <v>17</v>
      </c>
      <c r="H53" t="s">
        <v>155</v>
      </c>
    </row>
    <row r="54" spans="6:8">
      <c r="F54">
        <v>18</v>
      </c>
      <c r="H54" t="s">
        <v>156</v>
      </c>
    </row>
    <row r="55" spans="6:8">
      <c r="F55">
        <v>19</v>
      </c>
      <c r="H55" t="s">
        <v>157</v>
      </c>
    </row>
    <row r="56" spans="6:8">
      <c r="F56">
        <v>20</v>
      </c>
      <c r="H56" t="s">
        <v>158</v>
      </c>
    </row>
    <row r="57" spans="6:8">
      <c r="F57">
        <v>21</v>
      </c>
      <c r="H57" t="s">
        <v>159</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258"/>
  <sheetViews>
    <sheetView showGridLines="0" zoomScale="80" zoomScaleNormal="80" workbookViewId="0">
      <selection activeCell="O8" sqref="O8"/>
    </sheetView>
  </sheetViews>
  <sheetFormatPr defaultColWidth="8.77734375" defaultRowHeight="14.4"/>
  <cols>
    <col min="1" max="1" width="4" customWidth="1"/>
    <col min="14" max="14" width="9.33203125" customWidth="1"/>
  </cols>
  <sheetData>
    <row r="1" spans="2:17">
      <c r="Q1" s="23" t="s">
        <v>19</v>
      </c>
    </row>
    <row r="10" spans="2:17" ht="15.6">
      <c r="B10" s="45" t="s">
        <v>357</v>
      </c>
      <c r="D10" s="43" t="s">
        <v>358</v>
      </c>
    </row>
    <row r="12" spans="2:17" ht="18">
      <c r="B12" s="36"/>
      <c r="C12" s="36"/>
      <c r="D12" s="154" t="s">
        <v>194</v>
      </c>
      <c r="E12" s="154"/>
      <c r="F12" s="154"/>
      <c r="G12" s="154"/>
      <c r="H12" s="154"/>
      <c r="I12" s="154"/>
      <c r="J12" s="154"/>
      <c r="K12" s="36"/>
      <c r="L12" s="36"/>
      <c r="M12" s="36"/>
    </row>
    <row r="13" spans="2:17" ht="15.6">
      <c r="B13" s="36"/>
      <c r="C13" s="36"/>
      <c r="K13" s="36"/>
      <c r="L13" s="36"/>
      <c r="M13" s="36"/>
    </row>
    <row r="14" spans="2:17" ht="15.6">
      <c r="B14" s="36"/>
      <c r="C14" s="36"/>
      <c r="D14" s="36"/>
      <c r="E14" s="36"/>
      <c r="F14" s="36"/>
      <c r="G14" s="36"/>
      <c r="H14" s="36"/>
      <c r="I14" s="36"/>
      <c r="J14" s="36"/>
      <c r="K14" s="36"/>
      <c r="L14" s="36"/>
      <c r="M14" s="36"/>
    </row>
    <row r="15" spans="2:17" ht="15.6">
      <c r="B15" s="36"/>
      <c r="C15" s="36"/>
      <c r="D15" s="36"/>
      <c r="E15" s="36"/>
      <c r="F15" s="36"/>
      <c r="G15" s="36"/>
      <c r="H15" s="36"/>
      <c r="I15" s="36"/>
      <c r="J15" s="36"/>
      <c r="K15" s="36"/>
      <c r="L15" s="36"/>
      <c r="M15" s="36"/>
    </row>
    <row r="16" spans="2:17" ht="15.6">
      <c r="B16" s="36"/>
      <c r="C16" s="36"/>
      <c r="D16" s="36"/>
      <c r="E16" s="36"/>
      <c r="F16" s="36"/>
      <c r="G16" s="36"/>
      <c r="H16" s="36"/>
      <c r="I16" s="36"/>
      <c r="J16" s="36"/>
      <c r="K16" s="36"/>
      <c r="L16" s="36"/>
      <c r="M16" s="36"/>
    </row>
    <row r="17" spans="2:13" ht="15.6">
      <c r="B17" s="36"/>
      <c r="C17" s="36"/>
      <c r="D17" s="36"/>
      <c r="E17" s="36"/>
      <c r="F17" s="36"/>
      <c r="G17" s="36"/>
      <c r="H17" s="36"/>
      <c r="I17" s="36"/>
      <c r="J17" s="36"/>
      <c r="K17" s="36"/>
      <c r="L17" s="36"/>
      <c r="M17" s="36"/>
    </row>
    <row r="18" spans="2:13" ht="15.6">
      <c r="B18" s="36"/>
      <c r="C18" s="36"/>
      <c r="D18" s="36"/>
      <c r="E18" s="36"/>
      <c r="F18" s="36"/>
      <c r="G18" s="36"/>
      <c r="H18" s="36"/>
      <c r="I18" s="36"/>
      <c r="J18" s="36"/>
      <c r="K18" s="36"/>
      <c r="L18" s="36"/>
      <c r="M18" s="36"/>
    </row>
    <row r="19" spans="2:13" ht="15.6">
      <c r="B19" s="36"/>
      <c r="C19" s="36"/>
      <c r="D19" s="36"/>
      <c r="E19" s="36"/>
      <c r="F19" s="36"/>
      <c r="G19" s="36"/>
      <c r="H19" s="36"/>
      <c r="I19" s="36"/>
      <c r="J19" s="36"/>
      <c r="K19" s="36"/>
      <c r="L19" s="36"/>
      <c r="M19" s="36"/>
    </row>
    <row r="20" spans="2:13" ht="15.6">
      <c r="B20" s="36"/>
      <c r="C20" s="36"/>
      <c r="D20" s="36"/>
      <c r="E20" s="36"/>
      <c r="F20" s="36"/>
      <c r="G20" s="36"/>
      <c r="H20" s="36"/>
      <c r="I20" s="36"/>
      <c r="J20" s="36"/>
      <c r="K20" s="36"/>
      <c r="L20" s="36"/>
      <c r="M20" s="36"/>
    </row>
    <row r="21" spans="2:13" ht="15.6">
      <c r="B21" s="36"/>
      <c r="C21" s="36"/>
      <c r="D21" s="36"/>
      <c r="E21" s="36"/>
      <c r="F21" s="36"/>
      <c r="G21" s="36"/>
      <c r="H21" s="36"/>
      <c r="I21" s="36"/>
      <c r="J21" s="36"/>
      <c r="K21" s="36"/>
      <c r="L21" s="36"/>
      <c r="M21" s="36"/>
    </row>
    <row r="22" spans="2:13" ht="87">
      <c r="B22" s="150" t="s">
        <v>193</v>
      </c>
      <c r="C22" s="36"/>
      <c r="D22" s="36"/>
      <c r="E22" s="36"/>
      <c r="F22" s="36"/>
      <c r="G22" s="36"/>
      <c r="H22" s="36"/>
      <c r="I22" s="36"/>
      <c r="J22" s="36"/>
      <c r="K22" s="36"/>
      <c r="L22" s="36"/>
      <c r="M22" s="36"/>
    </row>
    <row r="23" spans="2:13" ht="15.6">
      <c r="B23" s="36"/>
      <c r="C23" s="36"/>
      <c r="D23" s="36"/>
      <c r="E23" s="36"/>
      <c r="F23" s="36"/>
      <c r="G23" s="36"/>
      <c r="H23" s="36"/>
      <c r="I23" s="36"/>
      <c r="J23" s="36"/>
      <c r="K23" s="36"/>
      <c r="L23" s="36"/>
      <c r="M23" s="36"/>
    </row>
    <row r="24" spans="2:13" ht="15.6">
      <c r="B24" s="36"/>
      <c r="C24" s="36"/>
      <c r="D24" s="36"/>
      <c r="E24" s="36"/>
      <c r="F24" s="36"/>
      <c r="G24" s="36"/>
      <c r="H24" s="36"/>
      <c r="I24" s="36"/>
      <c r="J24" s="36"/>
      <c r="K24" s="36"/>
      <c r="L24" s="36"/>
      <c r="M24" s="36"/>
    </row>
    <row r="25" spans="2:13" ht="15.6">
      <c r="B25" s="36"/>
      <c r="C25" s="36"/>
      <c r="D25" s="36"/>
      <c r="E25" s="36"/>
      <c r="F25" s="36"/>
      <c r="G25" s="36"/>
      <c r="H25" s="36"/>
      <c r="I25" s="36"/>
      <c r="J25" s="36"/>
      <c r="K25" s="36"/>
      <c r="L25" s="36"/>
      <c r="M25" s="36"/>
    </row>
    <row r="26" spans="2:13" ht="15.6">
      <c r="B26" s="36"/>
      <c r="C26" s="36"/>
      <c r="D26" s="36"/>
      <c r="E26" s="36"/>
      <c r="F26" s="36"/>
      <c r="G26" s="36"/>
      <c r="H26" s="36"/>
      <c r="I26" s="36"/>
      <c r="J26" s="36"/>
      <c r="K26" s="36"/>
      <c r="L26" s="36"/>
      <c r="M26" s="36"/>
    </row>
    <row r="27" spans="2:13" ht="15.6">
      <c r="B27" s="36"/>
      <c r="C27" s="36"/>
      <c r="D27" s="36"/>
      <c r="E27" s="36"/>
      <c r="F27" s="36"/>
      <c r="G27" s="36"/>
      <c r="H27" s="36"/>
      <c r="I27" s="36"/>
      <c r="J27" s="36"/>
      <c r="K27" s="36"/>
      <c r="L27" s="36"/>
      <c r="M27" s="36"/>
    </row>
    <row r="28" spans="2:13" ht="15.6">
      <c r="B28" s="36"/>
      <c r="C28" s="36"/>
      <c r="D28" s="36"/>
      <c r="E28" s="36"/>
      <c r="F28" s="36"/>
      <c r="G28" s="36"/>
      <c r="H28" s="36"/>
      <c r="I28" s="36"/>
      <c r="J28" s="36"/>
      <c r="K28" s="36"/>
      <c r="L28" s="36"/>
      <c r="M28" s="36"/>
    </row>
    <row r="29" spans="2:13" ht="15.6">
      <c r="B29" s="36"/>
      <c r="C29" s="36"/>
      <c r="D29" s="75" t="s">
        <v>187</v>
      </c>
      <c r="E29" s="75" t="s">
        <v>186</v>
      </c>
      <c r="F29" s="75" t="s">
        <v>188</v>
      </c>
      <c r="G29" s="75" t="s">
        <v>189</v>
      </c>
      <c r="H29" s="75" t="s">
        <v>190</v>
      </c>
      <c r="I29" s="75" t="s">
        <v>191</v>
      </c>
      <c r="J29" s="75" t="s">
        <v>192</v>
      </c>
      <c r="K29" s="36"/>
      <c r="L29" s="36"/>
      <c r="M29" s="36"/>
    </row>
    <row r="30" spans="2:13" ht="15.6">
      <c r="B30" s="36"/>
      <c r="C30" s="36"/>
      <c r="D30" s="36"/>
      <c r="E30" s="36"/>
      <c r="F30" s="36"/>
      <c r="G30" s="36"/>
      <c r="H30" s="36"/>
      <c r="I30" s="36"/>
      <c r="J30" s="36"/>
      <c r="K30" s="36"/>
      <c r="L30" s="36"/>
      <c r="M30" s="36"/>
    </row>
    <row r="36" spans="2:12" ht="15.6">
      <c r="D36" s="75" t="s">
        <v>187</v>
      </c>
      <c r="E36" s="75" t="s">
        <v>186</v>
      </c>
      <c r="F36" s="75" t="s">
        <v>188</v>
      </c>
      <c r="G36" s="75" t="s">
        <v>189</v>
      </c>
      <c r="H36" s="75" t="s">
        <v>190</v>
      </c>
      <c r="I36" s="75" t="s">
        <v>191</v>
      </c>
      <c r="J36" s="75" t="s">
        <v>192</v>
      </c>
    </row>
    <row r="41" spans="2:12" ht="15.6">
      <c r="B41" s="45"/>
      <c r="C41" s="36"/>
      <c r="D41" s="36"/>
      <c r="E41" s="36"/>
      <c r="F41" s="36"/>
      <c r="G41" s="36"/>
      <c r="H41" s="36"/>
      <c r="I41" s="36"/>
      <c r="J41" s="36"/>
      <c r="K41" s="36"/>
      <c r="L41" s="36"/>
    </row>
    <row r="42" spans="2:12" ht="15.6">
      <c r="B42" s="45"/>
      <c r="C42" s="36"/>
      <c r="D42" s="36"/>
      <c r="E42" s="36"/>
      <c r="F42" s="36"/>
      <c r="G42" s="36"/>
      <c r="H42" s="36"/>
      <c r="I42" s="36"/>
      <c r="J42" s="36"/>
      <c r="K42" s="36"/>
      <c r="L42" s="36"/>
    </row>
    <row r="43" spans="2:12" ht="15.6">
      <c r="B43" s="45"/>
      <c r="C43" s="36"/>
      <c r="D43" s="36"/>
      <c r="E43" s="36"/>
      <c r="F43" s="36"/>
      <c r="G43" s="36"/>
      <c r="H43" s="36"/>
      <c r="I43" s="36"/>
      <c r="J43" s="36"/>
      <c r="K43" s="36"/>
      <c r="L43" s="36"/>
    </row>
    <row r="44" spans="2:12" ht="15.6">
      <c r="B44" s="45"/>
      <c r="C44" s="36"/>
      <c r="D44" s="36"/>
      <c r="E44" s="36"/>
      <c r="F44" s="36"/>
      <c r="G44" s="36"/>
      <c r="H44" s="36"/>
      <c r="I44" s="36"/>
      <c r="J44" s="36"/>
      <c r="K44" s="36"/>
      <c r="L44" s="36"/>
    </row>
    <row r="45" spans="2:12" ht="15.6">
      <c r="C45" s="36"/>
      <c r="D45" s="36"/>
      <c r="E45" s="36"/>
      <c r="F45" s="36"/>
      <c r="G45" s="36"/>
      <c r="H45" s="36"/>
      <c r="I45" s="36"/>
      <c r="J45" s="36"/>
      <c r="K45" s="36"/>
      <c r="L45" s="36"/>
    </row>
    <row r="46" spans="2:12" ht="15.6">
      <c r="B46" s="45"/>
      <c r="C46" s="36"/>
      <c r="D46" s="36"/>
      <c r="E46" s="36"/>
      <c r="F46" s="36"/>
      <c r="G46" s="36"/>
      <c r="H46" s="36"/>
      <c r="I46" s="36"/>
      <c r="J46" s="36"/>
      <c r="K46" s="36"/>
      <c r="L46" s="36"/>
    </row>
    <row r="47" spans="2:12" ht="52.2">
      <c r="B47" s="76" t="s">
        <v>195</v>
      </c>
      <c r="C47" s="36"/>
      <c r="D47" s="36"/>
      <c r="E47" s="36"/>
      <c r="F47" s="36"/>
      <c r="G47" s="36"/>
      <c r="H47" s="36"/>
      <c r="I47" s="36"/>
      <c r="J47" s="36"/>
      <c r="K47" s="36"/>
      <c r="L47" s="36"/>
    </row>
    <row r="48" spans="2:12" ht="15.6">
      <c r="B48" s="45"/>
      <c r="C48" s="36"/>
      <c r="D48" s="36"/>
      <c r="E48" s="36"/>
      <c r="F48" s="36"/>
      <c r="G48" s="36"/>
      <c r="H48" s="36"/>
      <c r="I48" s="36"/>
      <c r="J48" s="36"/>
      <c r="K48" s="36"/>
      <c r="L48" s="36"/>
    </row>
    <row r="49" spans="2:12" ht="15.6">
      <c r="C49" s="36"/>
      <c r="D49" s="36"/>
      <c r="E49" s="36"/>
      <c r="F49" s="36"/>
      <c r="G49" s="36"/>
      <c r="H49" s="36"/>
      <c r="I49" s="36"/>
      <c r="J49" s="36"/>
      <c r="K49" s="36"/>
      <c r="L49" s="36"/>
    </row>
    <row r="50" spans="2:12" ht="15.6">
      <c r="B50" s="45"/>
      <c r="C50" s="36"/>
      <c r="D50" s="36"/>
      <c r="E50" s="36"/>
      <c r="F50" s="36"/>
      <c r="G50" s="36"/>
      <c r="H50" s="36"/>
      <c r="I50" s="36"/>
      <c r="J50" s="36"/>
      <c r="K50" s="36"/>
      <c r="L50" s="36"/>
    </row>
    <row r="51" spans="2:12" ht="15.6">
      <c r="B51" s="45"/>
      <c r="C51" s="36"/>
      <c r="D51" s="36"/>
      <c r="E51" s="36"/>
      <c r="F51" s="36"/>
      <c r="G51" s="36"/>
      <c r="H51" s="36"/>
      <c r="I51" s="36"/>
      <c r="J51" s="36"/>
      <c r="K51" s="36"/>
      <c r="L51" s="36"/>
    </row>
    <row r="52" spans="2:12" ht="15.6">
      <c r="B52" s="45"/>
      <c r="C52" s="36"/>
      <c r="D52" s="36"/>
      <c r="E52" s="36"/>
      <c r="F52" s="36"/>
      <c r="G52" s="36"/>
      <c r="H52" s="36"/>
      <c r="I52" s="36"/>
      <c r="J52" s="36"/>
      <c r="K52" s="36"/>
      <c r="L52" s="36"/>
    </row>
    <row r="53" spans="2:12" ht="15.6">
      <c r="B53" s="45"/>
      <c r="C53" s="36"/>
      <c r="D53" s="36"/>
      <c r="E53" s="36"/>
      <c r="F53" s="36"/>
      <c r="G53" s="36"/>
      <c r="H53" s="36"/>
      <c r="I53" s="36"/>
      <c r="J53" s="36"/>
      <c r="K53" s="36"/>
      <c r="L53" s="36"/>
    </row>
    <row r="54" spans="2:12" ht="15.6">
      <c r="B54" s="45"/>
      <c r="C54" s="36"/>
      <c r="D54" s="36"/>
      <c r="E54" s="36"/>
      <c r="F54" s="36"/>
      <c r="G54" s="36"/>
      <c r="H54" s="36"/>
      <c r="I54" s="36"/>
      <c r="J54" s="36"/>
      <c r="K54" s="36"/>
      <c r="L54" s="36"/>
    </row>
    <row r="58" spans="2:12" ht="15.6">
      <c r="B58" s="45" t="s">
        <v>359</v>
      </c>
      <c r="D58" s="43" t="s">
        <v>358</v>
      </c>
    </row>
    <row r="80" spans="2:4" ht="15.6">
      <c r="B80" s="45" t="s">
        <v>360</v>
      </c>
      <c r="D80" s="43" t="s">
        <v>358</v>
      </c>
    </row>
    <row r="82" spans="2:12" ht="15.6">
      <c r="B82" s="36"/>
      <c r="C82" s="36"/>
      <c r="D82" s="36"/>
      <c r="E82" s="36"/>
      <c r="F82" s="45" t="s">
        <v>200</v>
      </c>
      <c r="G82" s="36"/>
      <c r="H82" s="36"/>
      <c r="I82" s="36"/>
      <c r="J82" s="36"/>
      <c r="K82" s="36"/>
      <c r="L82" s="36"/>
    </row>
    <row r="83" spans="2:12" ht="15.6">
      <c r="B83" s="36"/>
      <c r="C83" s="36"/>
      <c r="D83" s="36"/>
      <c r="E83" s="36"/>
      <c r="F83" s="36"/>
      <c r="G83" s="36"/>
      <c r="H83" s="36"/>
      <c r="I83" s="36"/>
      <c r="J83" s="36"/>
      <c r="K83" s="36"/>
      <c r="L83" s="36"/>
    </row>
    <row r="84" spans="2:12" ht="15.6">
      <c r="B84" s="36"/>
      <c r="C84" s="36"/>
      <c r="D84" s="36"/>
      <c r="E84" s="36"/>
      <c r="F84" s="36"/>
      <c r="G84" s="36"/>
      <c r="H84" s="36"/>
      <c r="I84" s="36"/>
      <c r="J84" s="36"/>
      <c r="K84" s="36"/>
      <c r="L84" s="36"/>
    </row>
    <row r="85" spans="2:12" ht="15.6">
      <c r="B85" s="36"/>
      <c r="C85" s="36"/>
      <c r="D85" s="36"/>
      <c r="E85" s="36"/>
      <c r="F85" s="36"/>
      <c r="G85" s="36"/>
      <c r="H85" s="36"/>
      <c r="I85" s="36"/>
      <c r="J85" s="36"/>
      <c r="K85" s="36"/>
      <c r="L85" s="36"/>
    </row>
    <row r="86" spans="2:12" ht="15.6">
      <c r="B86" s="36"/>
      <c r="C86" s="36"/>
      <c r="D86" s="36"/>
      <c r="E86" s="36"/>
      <c r="F86" s="36"/>
      <c r="G86" s="36"/>
      <c r="H86" s="36"/>
      <c r="I86" s="36"/>
      <c r="J86" s="36"/>
      <c r="K86" s="36"/>
      <c r="L86" s="36"/>
    </row>
    <row r="87" spans="2:12" ht="15.6">
      <c r="B87" s="36"/>
      <c r="C87" s="36"/>
      <c r="D87" s="36"/>
      <c r="E87" s="36"/>
      <c r="F87" s="36"/>
      <c r="G87" s="36"/>
      <c r="H87" s="36"/>
      <c r="I87" s="36"/>
      <c r="J87" s="36"/>
      <c r="K87" s="36"/>
      <c r="L87" s="36"/>
    </row>
    <row r="88" spans="2:12" ht="15.6">
      <c r="B88" s="36"/>
      <c r="C88" s="36"/>
      <c r="D88" s="36"/>
      <c r="E88" s="36"/>
      <c r="F88" s="36"/>
      <c r="G88" s="36"/>
      <c r="H88" s="36"/>
      <c r="I88" s="36"/>
      <c r="J88" s="36"/>
      <c r="K88" s="36"/>
      <c r="L88" s="36"/>
    </row>
    <row r="89" spans="2:12" ht="15.6">
      <c r="B89" s="36"/>
      <c r="C89" s="36"/>
      <c r="D89" s="36"/>
      <c r="E89" s="36"/>
      <c r="F89" s="36"/>
      <c r="G89" s="36"/>
      <c r="H89" s="36"/>
      <c r="I89" s="36"/>
      <c r="J89" s="36"/>
      <c r="K89" s="36"/>
      <c r="L89" s="36"/>
    </row>
    <row r="90" spans="2:12" ht="15.6">
      <c r="C90" s="36"/>
      <c r="D90" s="36"/>
      <c r="E90" s="36"/>
      <c r="F90" s="36"/>
      <c r="G90" s="36"/>
      <c r="H90" s="36"/>
      <c r="I90" s="36"/>
      <c r="J90" s="36"/>
      <c r="K90" s="36"/>
      <c r="L90" s="36"/>
    </row>
    <row r="91" spans="2:12" ht="15.6">
      <c r="B91" s="36"/>
      <c r="C91" s="36"/>
      <c r="D91" s="36"/>
      <c r="E91" s="36"/>
      <c r="F91" s="36"/>
      <c r="G91" s="36"/>
      <c r="H91" s="36"/>
      <c r="I91" s="36"/>
      <c r="J91" s="36"/>
      <c r="K91" s="36"/>
      <c r="L91" s="36"/>
    </row>
    <row r="92" spans="2:12" ht="15.6">
      <c r="C92" s="36"/>
      <c r="D92" s="36"/>
      <c r="E92" s="36"/>
      <c r="F92" s="36"/>
      <c r="G92" s="36"/>
      <c r="H92" s="36"/>
      <c r="I92" s="36"/>
      <c r="J92" s="36"/>
      <c r="K92" s="36"/>
      <c r="L92" s="36"/>
    </row>
    <row r="93" spans="2:12" ht="15.6">
      <c r="C93" s="36"/>
      <c r="D93" s="36"/>
      <c r="E93" s="36"/>
      <c r="F93" s="36"/>
      <c r="G93" s="36"/>
      <c r="H93" s="36"/>
      <c r="I93" s="36"/>
      <c r="J93" s="36"/>
      <c r="K93" s="36"/>
      <c r="L93" s="36"/>
    </row>
    <row r="94" spans="2:12" ht="91.2">
      <c r="B94" s="76" t="s">
        <v>199</v>
      </c>
      <c r="C94" s="36"/>
      <c r="D94" s="36"/>
      <c r="E94" s="36"/>
      <c r="F94" s="36"/>
      <c r="G94" s="36"/>
      <c r="H94" s="36"/>
      <c r="I94" s="36"/>
      <c r="J94" s="36"/>
      <c r="K94" s="36"/>
      <c r="L94" s="36"/>
    </row>
    <row r="95" spans="2:12" ht="15.6">
      <c r="B95" s="36"/>
      <c r="C95" s="36"/>
      <c r="D95" s="36"/>
      <c r="E95" s="36"/>
      <c r="F95" s="36"/>
      <c r="G95" s="36"/>
      <c r="H95" s="36"/>
      <c r="I95" s="36"/>
      <c r="J95" s="36"/>
      <c r="K95" s="36"/>
      <c r="L95" s="36"/>
    </row>
    <row r="96" spans="2:12" ht="15.6">
      <c r="B96" s="36"/>
      <c r="C96" s="36"/>
      <c r="D96" s="36"/>
      <c r="E96" s="36"/>
      <c r="F96" s="36"/>
      <c r="G96" s="36"/>
      <c r="H96" s="36"/>
      <c r="I96" s="36"/>
      <c r="J96" s="36"/>
      <c r="K96" s="36"/>
      <c r="L96" s="36"/>
    </row>
    <row r="97" spans="2:13" ht="15.6">
      <c r="B97" s="36"/>
      <c r="C97" s="36"/>
      <c r="D97" s="36"/>
      <c r="E97" s="36"/>
      <c r="F97" s="36"/>
      <c r="G97" s="36"/>
      <c r="H97" s="36"/>
      <c r="I97" s="36"/>
      <c r="J97" s="36"/>
      <c r="K97" s="36"/>
      <c r="L97" s="36"/>
    </row>
    <row r="98" spans="2:13" ht="15.6">
      <c r="B98" s="36"/>
      <c r="C98" s="36"/>
      <c r="D98" s="36"/>
      <c r="E98" s="36"/>
      <c r="F98" s="36"/>
      <c r="H98" s="36"/>
      <c r="I98" s="36"/>
      <c r="J98" s="36"/>
      <c r="K98" s="36"/>
      <c r="L98" s="36"/>
    </row>
    <row r="99" spans="2:13" ht="15.6">
      <c r="B99" s="36"/>
      <c r="C99" s="36"/>
      <c r="D99" s="36"/>
      <c r="E99" s="36"/>
      <c r="F99" s="36"/>
      <c r="G99" s="78" t="s">
        <v>201</v>
      </c>
      <c r="H99" s="36"/>
      <c r="I99" s="36"/>
      <c r="J99" s="36"/>
      <c r="K99" s="36"/>
      <c r="L99" s="36"/>
    </row>
    <row r="108" spans="2:13" ht="15.6">
      <c r="B108" s="45" t="s">
        <v>361</v>
      </c>
      <c r="D108" s="43" t="s">
        <v>358</v>
      </c>
    </row>
    <row r="110" spans="2:13" ht="15.6">
      <c r="B110" s="36"/>
      <c r="C110" s="36"/>
      <c r="D110" s="36"/>
      <c r="E110" s="36"/>
      <c r="F110" s="36"/>
      <c r="G110" s="36"/>
      <c r="H110" s="36"/>
      <c r="I110" s="36"/>
      <c r="J110" s="36"/>
    </row>
    <row r="111" spans="2:13" ht="15.6">
      <c r="B111" s="36"/>
      <c r="C111" s="155" t="s">
        <v>262</v>
      </c>
      <c r="D111" s="155"/>
      <c r="E111" s="155"/>
      <c r="F111" s="155"/>
      <c r="G111" s="155"/>
      <c r="H111" s="155"/>
      <c r="I111" s="155"/>
      <c r="J111" s="155"/>
      <c r="K111" s="155"/>
      <c r="L111" s="155"/>
      <c r="M111" s="155"/>
    </row>
    <row r="112" spans="2:13" ht="15.6">
      <c r="B112" s="36"/>
      <c r="C112" s="36"/>
      <c r="D112" s="36"/>
      <c r="E112" s="36"/>
      <c r="F112" s="36"/>
      <c r="G112" s="36"/>
      <c r="H112" s="36"/>
      <c r="I112" s="36"/>
      <c r="J112" s="36"/>
    </row>
    <row r="113" spans="2:10" ht="15.6">
      <c r="B113" s="36"/>
      <c r="C113" s="36"/>
      <c r="D113" s="36"/>
      <c r="E113" s="36"/>
      <c r="F113" s="36"/>
      <c r="G113" s="36"/>
      <c r="H113" s="36"/>
      <c r="I113" s="36"/>
      <c r="J113" s="36"/>
    </row>
    <row r="114" spans="2:10" ht="15.6">
      <c r="B114" s="36"/>
      <c r="C114" s="36"/>
      <c r="D114" s="36"/>
      <c r="E114" s="36"/>
      <c r="F114" s="36"/>
      <c r="G114" s="36"/>
      <c r="H114" s="36"/>
      <c r="I114" s="36"/>
      <c r="J114" s="36"/>
    </row>
    <row r="115" spans="2:10" ht="15.6">
      <c r="C115" s="36"/>
      <c r="D115" s="36"/>
      <c r="E115" s="36"/>
      <c r="F115" s="36"/>
      <c r="G115" s="36"/>
      <c r="H115" s="36"/>
      <c r="I115" s="36"/>
      <c r="J115" s="36"/>
    </row>
    <row r="116" spans="2:10" ht="15.6">
      <c r="C116" s="36"/>
      <c r="D116" s="35"/>
      <c r="E116" s="36"/>
      <c r="F116" s="36"/>
      <c r="G116" s="36"/>
      <c r="J116" s="36"/>
    </row>
    <row r="117" spans="2:10" ht="15.6">
      <c r="B117" s="36"/>
      <c r="F117" s="36"/>
      <c r="G117" s="36"/>
      <c r="H117" s="36"/>
      <c r="I117" s="36"/>
      <c r="J117" s="36"/>
    </row>
    <row r="118" spans="2:10" ht="168.6">
      <c r="B118" s="76" t="s">
        <v>205</v>
      </c>
      <c r="C118" s="36"/>
      <c r="D118" s="36"/>
      <c r="E118" s="36"/>
      <c r="F118" s="36"/>
      <c r="G118" s="36"/>
      <c r="H118" s="36"/>
      <c r="I118" s="36"/>
      <c r="J118" s="36"/>
    </row>
    <row r="119" spans="2:10" ht="15.6">
      <c r="B119" s="36"/>
      <c r="C119" s="36"/>
      <c r="D119" s="36"/>
      <c r="E119" s="36"/>
      <c r="F119" s="36"/>
      <c r="G119" s="36"/>
      <c r="H119" s="36"/>
      <c r="I119" s="36"/>
      <c r="J119" s="36"/>
    </row>
    <row r="120" spans="2:10" ht="15.6">
      <c r="C120" s="36"/>
      <c r="D120" s="36"/>
      <c r="E120" s="36"/>
      <c r="F120" s="36"/>
      <c r="G120" s="36"/>
      <c r="H120" s="36"/>
      <c r="I120" s="36"/>
      <c r="J120" s="36"/>
    </row>
    <row r="121" spans="2:10" ht="15.6">
      <c r="C121" s="36"/>
      <c r="D121" s="36"/>
      <c r="E121" s="36"/>
      <c r="F121" s="36"/>
      <c r="G121" s="36"/>
      <c r="H121" s="36"/>
      <c r="I121" s="36"/>
      <c r="J121" s="36"/>
    </row>
    <row r="122" spans="2:10" ht="15.6">
      <c r="B122" s="36"/>
      <c r="C122" s="36"/>
      <c r="D122" s="36"/>
      <c r="E122" s="36"/>
      <c r="F122" s="36"/>
      <c r="G122" s="36"/>
      <c r="H122" s="36"/>
      <c r="I122" s="36"/>
      <c r="J122" s="36"/>
    </row>
    <row r="123" spans="2:10" ht="15.6">
      <c r="C123" s="36"/>
      <c r="D123" s="36"/>
      <c r="E123" s="36"/>
      <c r="F123" s="36"/>
      <c r="G123" s="36"/>
      <c r="H123" s="36"/>
      <c r="I123" s="36"/>
      <c r="J123" s="36"/>
    </row>
    <row r="124" spans="2:10" ht="15.6">
      <c r="C124" s="36"/>
      <c r="D124" s="36"/>
      <c r="E124" s="36"/>
      <c r="F124" s="36"/>
      <c r="G124" s="36"/>
      <c r="H124" s="36"/>
      <c r="I124" s="36"/>
      <c r="J124" s="36"/>
    </row>
    <row r="138" spans="2:4" ht="15.6">
      <c r="B138" s="45" t="s">
        <v>362</v>
      </c>
      <c r="D138" s="43" t="s">
        <v>358</v>
      </c>
    </row>
    <row r="258" spans="2:4" ht="15.6">
      <c r="B258" s="45" t="s">
        <v>363</v>
      </c>
      <c r="D258" s="43" t="s">
        <v>358</v>
      </c>
    </row>
  </sheetData>
  <mergeCells count="2">
    <mergeCell ref="D12:J12"/>
    <mergeCell ref="C111:M111"/>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670"/>
  <sheetViews>
    <sheetView showGridLines="0" zoomScale="80" zoomScaleNormal="80" workbookViewId="0">
      <selection activeCell="Q656" sqref="Q656"/>
    </sheetView>
  </sheetViews>
  <sheetFormatPr defaultColWidth="8.77734375" defaultRowHeight="14.4"/>
  <cols>
    <col min="1" max="1" width="7.5546875" customWidth="1"/>
    <col min="2" max="2" width="16.5546875" bestFit="1" customWidth="1"/>
    <col min="3" max="3" width="11" bestFit="1" customWidth="1"/>
    <col min="5" max="5" width="9.88671875" customWidth="1"/>
    <col min="9" max="9" width="12.109375" bestFit="1" customWidth="1"/>
    <col min="10" max="10" width="11" bestFit="1" customWidth="1"/>
    <col min="11" max="11" width="9.44140625" customWidth="1"/>
    <col min="12" max="12" width="9" bestFit="1" customWidth="1"/>
    <col min="13" max="13" width="9.33203125" bestFit="1" customWidth="1"/>
    <col min="22" max="22" width="8.44140625" customWidth="1"/>
    <col min="23" max="23" width="8.6640625" customWidth="1"/>
    <col min="24" max="24" width="8.33203125" customWidth="1"/>
    <col min="25" max="25" width="7" customWidth="1"/>
    <col min="26" max="27" width="7.6640625" customWidth="1"/>
  </cols>
  <sheetData>
    <row r="1" spans="1:27">
      <c r="Q1" s="23" t="s">
        <v>19</v>
      </c>
    </row>
    <row r="4" spans="1:27" ht="16.8">
      <c r="Y4" s="68"/>
      <c r="Z4" s="68"/>
      <c r="AA4" s="68"/>
    </row>
    <row r="5" spans="1:27" ht="16.8">
      <c r="X5" s="68"/>
      <c r="Y5" s="69"/>
      <c r="Z5" s="69"/>
      <c r="AA5" s="70"/>
    </row>
    <row r="6" spans="1:27" ht="16.8">
      <c r="X6" s="68"/>
      <c r="Y6" s="69"/>
      <c r="Z6" s="69"/>
      <c r="AA6" s="70"/>
    </row>
    <row r="7" spans="1:27" ht="16.8">
      <c r="X7" s="68"/>
      <c r="Y7" s="69"/>
      <c r="Z7" s="69"/>
      <c r="AA7" s="70"/>
    </row>
    <row r="8" spans="1:27" ht="16.8">
      <c r="X8" s="68"/>
      <c r="Y8" s="69"/>
      <c r="Z8" s="69"/>
      <c r="AA8" s="70"/>
    </row>
    <row r="9" spans="1:27" ht="16.8">
      <c r="X9" s="68"/>
      <c r="Y9" s="69"/>
      <c r="Z9" s="69"/>
      <c r="AA9" s="70"/>
    </row>
    <row r="10" spans="1:27" ht="16.8">
      <c r="X10" s="68"/>
      <c r="Y10" s="69"/>
      <c r="Z10" s="69"/>
      <c r="AA10" s="70"/>
    </row>
    <row r="11" spans="1:27" ht="16.8">
      <c r="X11" s="68"/>
      <c r="Y11" s="69"/>
      <c r="Z11" s="69"/>
      <c r="AA11" s="70"/>
    </row>
    <row r="12" spans="1:27" ht="16.8">
      <c r="A12" s="67"/>
      <c r="B12" s="60" t="s">
        <v>21</v>
      </c>
      <c r="C12" s="67"/>
      <c r="D12" s="60" t="s">
        <v>74</v>
      </c>
      <c r="E12" s="60"/>
      <c r="F12" s="60"/>
      <c r="G12" s="60"/>
      <c r="H12" s="60"/>
      <c r="I12" s="60"/>
      <c r="J12" s="60"/>
      <c r="K12" s="60"/>
      <c r="L12" s="60"/>
      <c r="M12" s="60"/>
      <c r="N12" s="36"/>
      <c r="O12" s="36"/>
      <c r="P12" s="36"/>
      <c r="Q12" s="36"/>
      <c r="R12" s="36"/>
      <c r="S12" s="36"/>
      <c r="T12" s="36"/>
      <c r="U12" s="36"/>
      <c r="X12" s="68"/>
      <c r="Y12" s="69"/>
      <c r="Z12" s="69"/>
      <c r="AA12" s="70"/>
    </row>
    <row r="13" spans="1:27" ht="16.8">
      <c r="A13" s="67"/>
      <c r="B13" s="67"/>
      <c r="C13" s="67"/>
      <c r="D13" s="60" t="s">
        <v>75</v>
      </c>
      <c r="E13" s="60"/>
      <c r="F13" s="60"/>
      <c r="G13" s="60"/>
      <c r="H13" s="60"/>
      <c r="I13" s="60"/>
      <c r="J13" s="60"/>
      <c r="K13" s="60"/>
      <c r="L13" s="60"/>
      <c r="M13" s="60"/>
      <c r="N13" s="36"/>
      <c r="O13" s="36"/>
      <c r="P13" s="36"/>
      <c r="Q13" s="36"/>
      <c r="R13" s="36"/>
      <c r="S13" s="36"/>
      <c r="T13" s="36"/>
      <c r="U13" s="36"/>
      <c r="X13" s="68"/>
      <c r="Y13" s="69"/>
      <c r="Z13" s="69"/>
      <c r="AA13" s="70"/>
    </row>
    <row r="14" spans="1:27" ht="16.8">
      <c r="A14" s="67"/>
      <c r="B14" s="67"/>
      <c r="C14" s="67"/>
      <c r="D14" s="60" t="s">
        <v>76</v>
      </c>
      <c r="E14" s="60"/>
      <c r="F14" s="60"/>
      <c r="G14" s="60"/>
      <c r="H14" s="60"/>
      <c r="I14" s="60"/>
      <c r="J14" s="60"/>
      <c r="K14" s="60"/>
      <c r="L14" s="60"/>
      <c r="M14" s="60"/>
      <c r="N14" s="36"/>
      <c r="O14" s="36"/>
      <c r="P14" s="36"/>
      <c r="Q14" s="36"/>
      <c r="R14" s="36"/>
      <c r="S14" s="36"/>
      <c r="T14" s="36"/>
      <c r="U14" s="36"/>
      <c r="X14" s="68"/>
      <c r="Y14" s="69"/>
      <c r="Z14" s="69"/>
      <c r="AA14" s="70"/>
    </row>
    <row r="15" spans="1:27" ht="16.8">
      <c r="A15" s="173"/>
      <c r="B15" s="173"/>
      <c r="C15" s="173"/>
      <c r="D15" s="174"/>
      <c r="E15" s="174"/>
      <c r="F15" s="174"/>
      <c r="G15" s="174"/>
      <c r="H15" s="174"/>
      <c r="I15" s="174"/>
      <c r="J15" s="174"/>
      <c r="K15" s="174"/>
      <c r="L15" s="174"/>
      <c r="M15" s="174"/>
      <c r="N15" s="36"/>
      <c r="O15" s="36"/>
      <c r="P15" s="36"/>
      <c r="Q15" s="36"/>
      <c r="R15" s="36"/>
      <c r="S15" s="36"/>
      <c r="T15" s="36"/>
      <c r="U15" s="36"/>
      <c r="X15" s="68"/>
      <c r="Y15" s="69"/>
      <c r="Z15" s="69"/>
      <c r="AA15" s="70"/>
    </row>
    <row r="16" spans="1:27" ht="16.8">
      <c r="A16" s="175"/>
      <c r="B16" s="176" t="s">
        <v>370</v>
      </c>
      <c r="C16" s="175"/>
      <c r="D16" s="175" t="s">
        <v>371</v>
      </c>
      <c r="E16" s="175"/>
      <c r="F16" s="175"/>
      <c r="G16" s="175"/>
      <c r="H16" s="175"/>
      <c r="I16" s="175"/>
      <c r="J16" s="175"/>
      <c r="K16" s="175"/>
      <c r="L16" s="175"/>
      <c r="M16" s="175"/>
      <c r="N16" s="36"/>
      <c r="O16" s="36"/>
      <c r="P16" s="36"/>
      <c r="Q16" s="36"/>
      <c r="R16" s="36"/>
      <c r="S16" s="36"/>
      <c r="T16" s="36"/>
      <c r="U16" s="36"/>
      <c r="X16" s="68"/>
      <c r="Y16" s="69"/>
      <c r="Z16" s="69"/>
      <c r="AA16" s="70"/>
    </row>
    <row r="17" spans="1:27" ht="16.8">
      <c r="A17" s="175"/>
      <c r="B17" s="175"/>
      <c r="C17" s="175"/>
      <c r="D17" s="175" t="s">
        <v>374</v>
      </c>
      <c r="E17" s="175"/>
      <c r="F17" s="175"/>
      <c r="G17" s="175"/>
      <c r="H17" s="175"/>
      <c r="I17" s="175"/>
      <c r="J17" s="175"/>
      <c r="K17" s="175"/>
      <c r="L17" s="175"/>
      <c r="M17" s="175"/>
      <c r="N17" s="36"/>
      <c r="O17" s="36"/>
      <c r="P17" s="36"/>
      <c r="Q17" s="36"/>
      <c r="R17" s="36"/>
      <c r="S17" s="36"/>
      <c r="T17" s="36"/>
      <c r="U17" s="36"/>
      <c r="X17" s="68"/>
      <c r="Y17" s="69"/>
      <c r="Z17" s="69"/>
      <c r="AA17" s="70"/>
    </row>
    <row r="18" spans="1:27" ht="16.8">
      <c r="A18" s="175"/>
      <c r="B18" s="175"/>
      <c r="C18" s="175"/>
      <c r="D18" s="175" t="s">
        <v>375</v>
      </c>
      <c r="E18" s="175"/>
      <c r="F18" s="175"/>
      <c r="G18" s="175"/>
      <c r="H18" s="175"/>
      <c r="I18" s="175"/>
      <c r="J18" s="175"/>
      <c r="K18" s="175"/>
      <c r="L18" s="175"/>
      <c r="M18" s="175"/>
      <c r="N18" s="36"/>
      <c r="O18" s="36"/>
      <c r="P18" s="36"/>
      <c r="Q18" s="36"/>
      <c r="R18" s="36"/>
      <c r="S18" s="36"/>
      <c r="T18" s="36"/>
      <c r="U18" s="36"/>
      <c r="X18" s="68"/>
      <c r="Y18" s="69"/>
      <c r="Z18" s="69"/>
      <c r="AA18" s="70"/>
    </row>
    <row r="19" spans="1:27" ht="16.8">
      <c r="A19" s="173"/>
      <c r="B19" s="173"/>
      <c r="C19" s="173"/>
      <c r="D19" s="173"/>
      <c r="E19" s="173"/>
      <c r="F19" s="173"/>
      <c r="G19" s="173"/>
      <c r="H19" s="173"/>
      <c r="I19" s="173"/>
      <c r="J19" s="173"/>
      <c r="K19" s="173"/>
      <c r="L19" s="173"/>
      <c r="M19" s="173"/>
      <c r="N19" s="36"/>
      <c r="O19" s="36"/>
      <c r="P19" s="36"/>
      <c r="Q19" s="36"/>
      <c r="R19" s="36"/>
      <c r="S19" s="36"/>
      <c r="T19" s="36"/>
      <c r="U19" s="36"/>
      <c r="X19" s="68"/>
      <c r="Y19" s="69"/>
      <c r="Z19" s="69"/>
      <c r="AA19" s="70"/>
    </row>
    <row r="20" spans="1:27" ht="16.8">
      <c r="A20" s="52"/>
      <c r="B20" s="88" t="s">
        <v>372</v>
      </c>
      <c r="C20" s="52"/>
      <c r="D20" s="88" t="s">
        <v>373</v>
      </c>
      <c r="E20" s="52"/>
      <c r="F20" s="52"/>
      <c r="G20" s="52"/>
      <c r="H20" s="52"/>
      <c r="I20" s="52"/>
      <c r="J20" s="52"/>
      <c r="K20" s="52"/>
      <c r="L20" s="52"/>
      <c r="M20" s="52"/>
      <c r="N20" s="36"/>
      <c r="O20" s="36"/>
      <c r="P20" s="36"/>
      <c r="Q20" s="36"/>
      <c r="R20" s="36"/>
      <c r="S20" s="36"/>
      <c r="T20" s="36"/>
      <c r="U20" s="36"/>
      <c r="X20" s="68"/>
      <c r="Y20" s="69"/>
      <c r="Z20" s="69"/>
      <c r="AA20" s="70"/>
    </row>
    <row r="21" spans="1:27" ht="16.8">
      <c r="A21" s="52"/>
      <c r="B21" s="89"/>
      <c r="C21" s="52"/>
      <c r="D21" s="88" t="s">
        <v>376</v>
      </c>
      <c r="E21" s="52"/>
      <c r="F21" s="52"/>
      <c r="G21" s="52"/>
      <c r="H21" s="52"/>
      <c r="I21" s="52"/>
      <c r="J21" s="52"/>
      <c r="K21" s="52"/>
      <c r="L21" s="52"/>
      <c r="M21" s="52"/>
      <c r="N21" s="36"/>
      <c r="O21" s="36"/>
      <c r="P21" s="36"/>
      <c r="Q21" s="36"/>
      <c r="R21" s="36"/>
      <c r="S21" s="36"/>
      <c r="T21" s="36"/>
      <c r="U21" s="36"/>
      <c r="X21" s="68"/>
      <c r="Y21" s="69"/>
      <c r="Z21" s="69"/>
      <c r="AA21" s="70"/>
    </row>
    <row r="22" spans="1:27" ht="16.8">
      <c r="A22" s="36"/>
      <c r="B22" s="36"/>
      <c r="C22" s="36"/>
      <c r="D22" s="36"/>
      <c r="E22" s="36"/>
      <c r="F22" s="36"/>
      <c r="G22" s="36"/>
      <c r="H22" s="36"/>
      <c r="I22" s="36"/>
      <c r="J22" s="36"/>
      <c r="K22" s="36"/>
      <c r="L22" s="36"/>
      <c r="M22" s="36"/>
      <c r="N22" s="36"/>
      <c r="O22" s="36"/>
      <c r="P22" s="36"/>
      <c r="Q22" s="36"/>
      <c r="R22" s="36"/>
      <c r="S22" s="36"/>
      <c r="T22" s="36"/>
      <c r="U22" s="36"/>
      <c r="X22" s="68"/>
      <c r="Y22" s="69"/>
      <c r="Z22" s="69"/>
      <c r="AA22" s="70"/>
    </row>
    <row r="23" spans="1:27" ht="16.8">
      <c r="A23" s="42" t="s">
        <v>88</v>
      </c>
      <c r="B23" s="90" t="s">
        <v>77</v>
      </c>
      <c r="C23" s="43"/>
      <c r="D23" s="44" t="s">
        <v>89</v>
      </c>
      <c r="E23" s="43"/>
      <c r="F23" s="43" t="s">
        <v>90</v>
      </c>
      <c r="G23" s="43"/>
      <c r="H23" s="177" t="s">
        <v>185</v>
      </c>
      <c r="I23" s="177"/>
      <c r="J23" s="177"/>
      <c r="K23" s="177"/>
      <c r="L23" s="43" t="s">
        <v>95</v>
      </c>
      <c r="M23" s="36"/>
      <c r="N23" s="36"/>
      <c r="O23" s="36"/>
      <c r="Q23" s="36"/>
      <c r="R23" s="36"/>
      <c r="T23" s="36"/>
      <c r="U23" s="36"/>
      <c r="X23" s="68"/>
      <c r="Y23" s="69"/>
      <c r="Z23" s="69"/>
      <c r="AA23" s="70"/>
    </row>
    <row r="24" spans="1:27" ht="16.8">
      <c r="A24" s="39">
        <v>0</v>
      </c>
      <c r="B24" s="64">
        <v>6204182</v>
      </c>
      <c r="C24" s="46"/>
      <c r="D24" s="46" t="s">
        <v>79</v>
      </c>
      <c r="E24" s="46"/>
      <c r="F24" s="46" t="s">
        <v>85</v>
      </c>
      <c r="G24" s="46"/>
      <c r="H24" s="47" t="s">
        <v>91</v>
      </c>
      <c r="I24" s="47"/>
      <c r="J24" s="47"/>
      <c r="K24" s="47"/>
      <c r="L24" s="55">
        <f>B24/$B$31</f>
        <v>1.3402087014172781</v>
      </c>
      <c r="M24" s="46"/>
      <c r="N24" s="36"/>
      <c r="O24" s="36"/>
      <c r="Q24" s="36"/>
      <c r="R24" s="36"/>
      <c r="S24" s="36"/>
      <c r="T24" s="36"/>
      <c r="U24" s="36"/>
      <c r="X24" s="68"/>
      <c r="Y24" s="69"/>
      <c r="Z24" s="69"/>
      <c r="AA24" s="70"/>
    </row>
    <row r="25" spans="1:27" ht="16.8">
      <c r="A25" s="39">
        <v>1</v>
      </c>
      <c r="B25" s="64">
        <v>5660230</v>
      </c>
      <c r="C25" s="46"/>
      <c r="D25" s="46" t="s">
        <v>78</v>
      </c>
      <c r="E25" s="46"/>
      <c r="F25" s="46" t="s">
        <v>85</v>
      </c>
      <c r="G25" s="46"/>
      <c r="H25" s="47"/>
      <c r="I25" s="47"/>
      <c r="J25" s="47"/>
      <c r="K25" s="47"/>
      <c r="L25" s="55">
        <f t="shared" ref="L25:L31" si="0">B25/$B$31</f>
        <v>1.2227058293942892</v>
      </c>
      <c r="M25" s="46"/>
      <c r="N25" s="36"/>
      <c r="O25" s="36"/>
      <c r="P25" s="36"/>
      <c r="Q25" s="36"/>
      <c r="R25" s="36"/>
      <c r="S25" s="36"/>
      <c r="T25" s="36"/>
      <c r="U25" s="36"/>
      <c r="X25" s="68"/>
      <c r="Y25" s="69"/>
      <c r="Z25" s="69"/>
      <c r="AA25" s="70"/>
    </row>
    <row r="26" spans="1:27" ht="16.8">
      <c r="A26" s="39">
        <v>6</v>
      </c>
      <c r="B26" s="65">
        <v>4496490</v>
      </c>
      <c r="C26" s="48"/>
      <c r="D26" s="48" t="s">
        <v>80</v>
      </c>
      <c r="E26" s="48"/>
      <c r="F26" s="48" t="s">
        <v>86</v>
      </c>
      <c r="G26" s="48"/>
      <c r="H26" s="49" t="s">
        <v>92</v>
      </c>
      <c r="I26" s="49"/>
      <c r="J26" s="49"/>
      <c r="K26" s="49"/>
      <c r="L26" s="56">
        <f t="shared" si="0"/>
        <v>0.97131822113467603</v>
      </c>
      <c r="M26" s="48"/>
      <c r="N26" s="36"/>
      <c r="O26" s="36"/>
      <c r="P26" s="36"/>
      <c r="Q26" s="36"/>
      <c r="R26" s="36"/>
      <c r="S26" s="36"/>
      <c r="T26" s="36"/>
      <c r="U26" s="36"/>
      <c r="X26" s="68"/>
      <c r="Y26" s="69"/>
      <c r="Z26" s="69"/>
      <c r="AA26" s="70"/>
    </row>
    <row r="27" spans="1:27" ht="16.8">
      <c r="A27" s="39">
        <v>2</v>
      </c>
      <c r="B27" s="65">
        <v>4213830</v>
      </c>
      <c r="C27" s="48"/>
      <c r="D27" s="48" t="s">
        <v>81</v>
      </c>
      <c r="E27" s="48"/>
      <c r="F27" s="48" t="s">
        <v>86</v>
      </c>
      <c r="G27" s="48"/>
      <c r="H27" s="49"/>
      <c r="I27" s="49"/>
      <c r="J27" s="49"/>
      <c r="K27" s="49"/>
      <c r="L27" s="56">
        <f t="shared" si="0"/>
        <v>0.91025885963583419</v>
      </c>
      <c r="M27" s="48"/>
      <c r="N27" s="36"/>
      <c r="O27" s="36"/>
      <c r="P27" s="36"/>
      <c r="Q27" s="36"/>
      <c r="R27" s="36"/>
      <c r="S27" s="36"/>
      <c r="T27" s="36"/>
      <c r="U27" s="36"/>
      <c r="X27" s="68"/>
      <c r="Y27" s="69"/>
      <c r="Z27" s="69"/>
      <c r="AA27" s="70"/>
    </row>
    <row r="28" spans="1:27" ht="16.8">
      <c r="A28" s="39">
        <v>5</v>
      </c>
      <c r="B28" s="65">
        <v>4205791</v>
      </c>
      <c r="C28" s="48"/>
      <c r="D28" s="48" t="s">
        <v>82</v>
      </c>
      <c r="E28" s="48"/>
      <c r="F28" s="48" t="s">
        <v>86</v>
      </c>
      <c r="G28" s="48"/>
      <c r="H28" s="49"/>
      <c r="I28" s="49"/>
      <c r="J28" s="49"/>
      <c r="K28" s="49"/>
      <c r="L28" s="56">
        <f t="shared" si="0"/>
        <v>0.90852229907866588</v>
      </c>
      <c r="M28" s="48"/>
      <c r="N28" s="36"/>
      <c r="O28" s="36"/>
      <c r="P28" s="36"/>
      <c r="Q28" s="36"/>
      <c r="R28" s="36"/>
      <c r="S28" s="36"/>
      <c r="T28" s="36"/>
      <c r="U28" s="36"/>
      <c r="X28" s="68"/>
      <c r="Y28" s="69"/>
      <c r="Z28" s="69"/>
      <c r="AA28" s="70"/>
    </row>
    <row r="29" spans="1:27" ht="16.8">
      <c r="A29" s="39">
        <v>3</v>
      </c>
      <c r="B29" s="66">
        <v>3840534</v>
      </c>
      <c r="C29" s="50"/>
      <c r="D29" s="50" t="s">
        <v>83</v>
      </c>
      <c r="E29" s="50"/>
      <c r="F29" s="50" t="s">
        <v>87</v>
      </c>
      <c r="G29" s="50"/>
      <c r="H29" s="51"/>
      <c r="I29" s="51"/>
      <c r="J29" s="51"/>
      <c r="K29" s="51"/>
      <c r="L29" s="57">
        <f t="shared" si="0"/>
        <v>0.8296205825181957</v>
      </c>
      <c r="M29" s="50"/>
      <c r="N29" s="36"/>
      <c r="O29" s="36"/>
      <c r="P29" s="36"/>
      <c r="Q29" s="36"/>
      <c r="R29" s="36"/>
      <c r="S29" s="36"/>
      <c r="T29" s="36"/>
      <c r="U29" s="36"/>
      <c r="X29" s="68"/>
      <c r="Y29" s="69"/>
      <c r="Z29" s="69"/>
      <c r="AA29" s="70"/>
    </row>
    <row r="30" spans="1:27" ht="16.8">
      <c r="A30" s="39">
        <v>4</v>
      </c>
      <c r="B30" s="66">
        <v>3783802</v>
      </c>
      <c r="C30" s="50"/>
      <c r="D30" s="50" t="s">
        <v>84</v>
      </c>
      <c r="E30" s="50"/>
      <c r="F30" s="50" t="s">
        <v>87</v>
      </c>
      <c r="G30" s="50"/>
      <c r="H30" s="51" t="s">
        <v>93</v>
      </c>
      <c r="I30" s="51"/>
      <c r="J30" s="51"/>
      <c r="K30" s="51"/>
      <c r="L30" s="57">
        <f t="shared" si="0"/>
        <v>0.81736550682106035</v>
      </c>
      <c r="M30" s="50"/>
      <c r="N30" s="36"/>
      <c r="O30" s="36"/>
      <c r="P30" s="36"/>
      <c r="Q30" s="36"/>
      <c r="R30" s="36"/>
      <c r="S30" s="36"/>
      <c r="T30" s="36"/>
      <c r="U30" s="36"/>
      <c r="X30" s="68"/>
      <c r="Y30" s="69"/>
      <c r="Z30" s="69"/>
      <c r="AA30" s="70"/>
    </row>
    <row r="31" spans="1:27" ht="16.8">
      <c r="A31" s="36"/>
      <c r="B31" s="95">
        <f>AVERAGE(B24:B30)</f>
        <v>4629265.5714285718</v>
      </c>
      <c r="C31" s="96"/>
      <c r="D31" s="97" t="s">
        <v>94</v>
      </c>
      <c r="E31" s="96"/>
      <c r="F31" s="96"/>
      <c r="G31" s="96"/>
      <c r="H31" s="96"/>
      <c r="I31" s="96"/>
      <c r="J31" s="96"/>
      <c r="K31" s="96"/>
      <c r="L31" s="98">
        <f t="shared" si="0"/>
        <v>1</v>
      </c>
      <c r="M31" s="96"/>
      <c r="N31" s="36"/>
      <c r="O31" s="36"/>
      <c r="P31" s="36"/>
      <c r="Q31" s="36"/>
      <c r="R31" s="36"/>
      <c r="S31" s="36"/>
      <c r="T31" s="36"/>
      <c r="U31" s="36"/>
      <c r="X31" s="68"/>
      <c r="Y31" s="69"/>
      <c r="Z31" s="69"/>
      <c r="AA31" s="70"/>
    </row>
    <row r="32" spans="1:27" ht="16.8">
      <c r="A32" s="36"/>
      <c r="B32" s="36"/>
      <c r="C32" s="36"/>
      <c r="D32" s="36"/>
      <c r="E32" s="36"/>
      <c r="F32" s="36"/>
      <c r="G32" s="36"/>
      <c r="H32" s="36"/>
      <c r="I32" s="36"/>
      <c r="J32" s="36"/>
      <c r="K32" s="36"/>
      <c r="L32" s="36"/>
      <c r="M32" s="36"/>
      <c r="N32" s="36"/>
      <c r="O32" s="36"/>
      <c r="P32" s="36"/>
      <c r="Q32" s="36"/>
      <c r="R32" s="36"/>
      <c r="S32" s="36"/>
      <c r="T32" s="36"/>
      <c r="U32" s="36"/>
      <c r="X32" s="68"/>
      <c r="Y32" s="69"/>
      <c r="Z32" s="69"/>
      <c r="AA32" s="70"/>
    </row>
    <row r="33" spans="1:27" ht="16.8" customHeight="1">
      <c r="A33" s="36"/>
      <c r="B33" s="36"/>
      <c r="C33" s="36"/>
      <c r="D33" s="154" t="s">
        <v>194</v>
      </c>
      <c r="E33" s="154"/>
      <c r="F33" s="154"/>
      <c r="G33" s="154"/>
      <c r="H33" s="154"/>
      <c r="I33" s="154"/>
      <c r="J33" s="154"/>
      <c r="K33" s="36"/>
      <c r="L33" s="36"/>
      <c r="M33" s="36"/>
      <c r="N33" s="36"/>
      <c r="O33" s="36"/>
      <c r="P33" s="36"/>
      <c r="Q33" s="36"/>
      <c r="R33" s="36"/>
      <c r="S33" s="36"/>
      <c r="T33" s="36"/>
      <c r="U33" s="36"/>
      <c r="X33" s="68"/>
      <c r="Y33" s="69"/>
      <c r="Z33" s="69"/>
      <c r="AA33" s="70"/>
    </row>
    <row r="34" spans="1:27" ht="16.8">
      <c r="A34" s="36"/>
      <c r="B34" s="36"/>
      <c r="C34" s="36"/>
      <c r="D34" s="36"/>
      <c r="E34" s="36"/>
      <c r="F34" s="36"/>
      <c r="G34" s="36"/>
      <c r="H34" s="36"/>
      <c r="I34" s="36"/>
      <c r="J34" s="36"/>
      <c r="K34" s="36"/>
      <c r="L34" s="36"/>
      <c r="M34" s="36"/>
      <c r="N34" s="36"/>
      <c r="O34" s="36"/>
      <c r="P34" s="36"/>
      <c r="Q34" s="36"/>
      <c r="R34" s="36"/>
      <c r="S34" s="36"/>
      <c r="T34" s="36"/>
      <c r="U34" s="36"/>
      <c r="X34" s="68"/>
      <c r="Y34" s="69"/>
      <c r="Z34" s="69"/>
      <c r="AA34" s="70"/>
    </row>
    <row r="35" spans="1:27" ht="16.8">
      <c r="A35" s="36"/>
      <c r="B35" s="36"/>
      <c r="C35" s="36"/>
      <c r="D35" s="36"/>
      <c r="E35" s="36"/>
      <c r="F35" s="36"/>
      <c r="G35" s="36"/>
      <c r="H35" s="36"/>
      <c r="I35" s="36"/>
      <c r="J35" s="36"/>
      <c r="K35" s="36"/>
      <c r="L35" s="36"/>
      <c r="M35" s="36"/>
      <c r="N35" s="36"/>
      <c r="O35" s="36"/>
      <c r="P35" s="36"/>
      <c r="Q35" s="36"/>
      <c r="R35" s="36"/>
      <c r="S35" s="36"/>
      <c r="T35" s="36"/>
      <c r="U35" s="36"/>
      <c r="X35" s="68"/>
      <c r="Y35" s="69"/>
      <c r="Z35" s="69"/>
      <c r="AA35" s="70"/>
    </row>
    <row r="36" spans="1:27" ht="16.8">
      <c r="A36" s="36"/>
      <c r="B36" s="36"/>
      <c r="C36" s="36"/>
      <c r="D36" s="36"/>
      <c r="E36" s="36"/>
      <c r="F36" s="36"/>
      <c r="G36" s="36"/>
      <c r="H36" s="36"/>
      <c r="I36" s="36"/>
      <c r="J36" s="36"/>
      <c r="K36" s="36"/>
      <c r="L36" s="36"/>
      <c r="M36" s="36"/>
      <c r="N36" s="36"/>
      <c r="O36" s="36"/>
      <c r="P36" s="36"/>
      <c r="Q36" s="36"/>
      <c r="R36" s="36"/>
      <c r="S36" s="36"/>
      <c r="T36" s="36"/>
      <c r="U36" s="36"/>
      <c r="X36" s="68"/>
      <c r="Y36" s="69"/>
      <c r="Z36" s="69"/>
      <c r="AA36" s="70"/>
    </row>
    <row r="37" spans="1:27" ht="16.8">
      <c r="A37" s="36"/>
      <c r="B37" s="36"/>
      <c r="C37" s="36"/>
      <c r="D37" s="36"/>
      <c r="E37" s="36"/>
      <c r="F37" s="36"/>
      <c r="G37" s="36"/>
      <c r="H37" s="36"/>
      <c r="I37" s="36"/>
      <c r="J37" s="36"/>
      <c r="K37" s="36"/>
      <c r="L37" s="36"/>
      <c r="M37" s="36"/>
      <c r="N37" s="36"/>
      <c r="O37" s="36"/>
      <c r="P37" s="36"/>
      <c r="Q37" s="36"/>
      <c r="R37" s="36"/>
      <c r="S37" s="36"/>
      <c r="T37" s="36"/>
      <c r="U37" s="36"/>
      <c r="X37" s="68"/>
      <c r="Y37" s="69"/>
      <c r="Z37" s="69"/>
      <c r="AA37" s="70"/>
    </row>
    <row r="38" spans="1:27" ht="16.8">
      <c r="A38" s="36"/>
      <c r="B38" s="36"/>
      <c r="C38" s="36"/>
      <c r="D38" s="36"/>
      <c r="E38" s="36"/>
      <c r="F38" s="36"/>
      <c r="G38" s="36"/>
      <c r="H38" s="36"/>
      <c r="I38" s="36"/>
      <c r="J38" s="36"/>
      <c r="K38" s="36"/>
      <c r="L38" s="36"/>
      <c r="M38" s="36"/>
      <c r="N38" s="36"/>
      <c r="O38" s="36"/>
      <c r="P38" s="36"/>
      <c r="Q38" s="36"/>
      <c r="R38" s="36"/>
      <c r="S38" s="36"/>
      <c r="T38" s="36"/>
      <c r="U38" s="36"/>
      <c r="X38" s="68"/>
      <c r="Y38" s="69"/>
      <c r="Z38" s="69"/>
      <c r="AA38" s="70"/>
    </row>
    <row r="39" spans="1:27" ht="16.8">
      <c r="A39" s="36"/>
      <c r="B39" s="36"/>
      <c r="C39" s="36"/>
      <c r="D39" s="36"/>
      <c r="E39" s="36"/>
      <c r="F39" s="36"/>
      <c r="G39" s="36"/>
      <c r="H39" s="36"/>
      <c r="I39" s="36"/>
      <c r="J39" s="36"/>
      <c r="K39" s="36"/>
      <c r="L39" s="36"/>
      <c r="M39" s="36"/>
      <c r="N39" s="36"/>
      <c r="O39" s="36"/>
      <c r="P39" s="36"/>
      <c r="Q39" s="36"/>
      <c r="R39" s="36"/>
      <c r="S39" s="36"/>
      <c r="T39" s="36"/>
      <c r="U39" s="36"/>
      <c r="X39" s="68"/>
      <c r="Y39" s="69"/>
      <c r="Z39" s="69"/>
      <c r="AA39" s="70"/>
    </row>
    <row r="40" spans="1:27" ht="16.8">
      <c r="A40" s="36"/>
      <c r="B40" s="36"/>
      <c r="C40" s="36"/>
      <c r="D40" s="36"/>
      <c r="E40" s="36"/>
      <c r="F40" s="36"/>
      <c r="G40" s="36"/>
      <c r="H40" s="36"/>
      <c r="I40" s="36"/>
      <c r="J40" s="36"/>
      <c r="K40" s="36"/>
      <c r="L40" s="36"/>
      <c r="M40" s="36"/>
      <c r="N40" s="36"/>
      <c r="O40" s="36"/>
      <c r="P40" s="36"/>
      <c r="Q40" s="36"/>
      <c r="R40" s="36"/>
      <c r="S40" s="36"/>
      <c r="T40" s="36"/>
      <c r="U40" s="36"/>
      <c r="X40" s="68"/>
      <c r="Y40" s="69"/>
      <c r="Z40" s="69"/>
      <c r="AA40" s="70"/>
    </row>
    <row r="41" spans="1:27" ht="16.8">
      <c r="A41" s="36"/>
      <c r="B41" s="36"/>
      <c r="C41" s="36"/>
      <c r="D41" s="36"/>
      <c r="E41" s="36"/>
      <c r="F41" s="36"/>
      <c r="G41" s="36"/>
      <c r="H41" s="36"/>
      <c r="I41" s="36"/>
      <c r="J41" s="36"/>
      <c r="K41" s="36"/>
      <c r="L41" s="36"/>
      <c r="M41" s="36"/>
      <c r="N41" s="36"/>
      <c r="O41" s="36"/>
      <c r="P41" s="36"/>
      <c r="Q41" s="36"/>
      <c r="R41" s="36"/>
      <c r="S41" s="36"/>
      <c r="T41" s="36"/>
      <c r="U41" s="36"/>
      <c r="X41" s="68"/>
      <c r="Y41" s="69"/>
      <c r="Z41" s="69"/>
      <c r="AA41" s="70"/>
    </row>
    <row r="42" spans="1:27" ht="87">
      <c r="A42" s="36"/>
      <c r="B42" s="76" t="s">
        <v>193</v>
      </c>
      <c r="C42" s="36"/>
      <c r="D42" s="36"/>
      <c r="E42" s="36"/>
      <c r="F42" s="36"/>
      <c r="G42" s="36"/>
      <c r="H42" s="36"/>
      <c r="I42" s="36"/>
      <c r="J42" s="36"/>
      <c r="K42" s="36"/>
      <c r="L42" s="36"/>
      <c r="M42" s="36"/>
      <c r="N42" s="36"/>
      <c r="O42" s="36"/>
      <c r="P42" s="36"/>
      <c r="Q42" s="36"/>
      <c r="R42" s="36"/>
      <c r="S42" s="36"/>
      <c r="T42" s="36"/>
      <c r="U42" s="36"/>
      <c r="X42" s="68"/>
      <c r="Y42" s="69"/>
      <c r="Z42" s="69"/>
      <c r="AA42" s="70"/>
    </row>
    <row r="43" spans="1:27" ht="16.8">
      <c r="A43" s="36"/>
      <c r="B43" s="36"/>
      <c r="C43" s="36"/>
      <c r="D43" s="36"/>
      <c r="E43" s="36"/>
      <c r="F43" s="36"/>
      <c r="G43" s="36"/>
      <c r="H43" s="36"/>
      <c r="I43" s="36"/>
      <c r="J43" s="36"/>
      <c r="K43" s="36"/>
      <c r="L43" s="36"/>
      <c r="M43" s="36"/>
      <c r="N43" s="36"/>
      <c r="O43" s="36"/>
      <c r="P43" s="36"/>
      <c r="Q43" s="36"/>
      <c r="R43" s="36"/>
      <c r="S43" s="36"/>
      <c r="T43" s="36"/>
      <c r="U43" s="36"/>
      <c r="X43" s="68"/>
      <c r="Y43" s="69"/>
      <c r="Z43" s="69"/>
      <c r="AA43" s="70"/>
    </row>
    <row r="44" spans="1:27" ht="16.8">
      <c r="A44" s="36"/>
      <c r="B44" s="36"/>
      <c r="C44" s="36"/>
      <c r="D44" s="36"/>
      <c r="E44" s="36"/>
      <c r="F44" s="36"/>
      <c r="G44" s="36"/>
      <c r="H44" s="36"/>
      <c r="I44" s="36"/>
      <c r="J44" s="36"/>
      <c r="K44" s="36"/>
      <c r="L44" s="36"/>
      <c r="M44" s="36"/>
      <c r="N44" s="36"/>
      <c r="O44" s="36"/>
      <c r="P44" s="36"/>
      <c r="Q44" s="36"/>
      <c r="R44" s="36"/>
      <c r="S44" s="36"/>
      <c r="T44" s="36"/>
      <c r="U44" s="36"/>
      <c r="X44" s="68"/>
      <c r="Y44" s="69"/>
      <c r="Z44" s="69"/>
      <c r="AA44" s="70"/>
    </row>
    <row r="45" spans="1:27" ht="16.8">
      <c r="A45" s="36"/>
      <c r="B45" s="36"/>
      <c r="C45" s="36"/>
      <c r="D45" s="36"/>
      <c r="E45" s="36"/>
      <c r="F45" s="36"/>
      <c r="G45" s="36"/>
      <c r="H45" s="36"/>
      <c r="I45" s="36"/>
      <c r="J45" s="36"/>
      <c r="K45" s="36"/>
      <c r="L45" s="36"/>
      <c r="M45" s="36"/>
      <c r="N45" s="36"/>
      <c r="O45" s="36"/>
      <c r="P45" s="36"/>
      <c r="Q45" s="36"/>
      <c r="R45" s="36"/>
      <c r="S45" s="36"/>
      <c r="T45" s="36"/>
      <c r="U45" s="36"/>
      <c r="X45" s="68"/>
      <c r="Y45" s="69"/>
      <c r="Z45" s="69"/>
      <c r="AA45" s="70"/>
    </row>
    <row r="46" spans="1:27" ht="16.8">
      <c r="A46" s="36"/>
      <c r="B46" s="36"/>
      <c r="C46" s="36"/>
      <c r="D46" s="36"/>
      <c r="E46" s="36"/>
      <c r="F46" s="36"/>
      <c r="G46" s="36"/>
      <c r="H46" s="36"/>
      <c r="I46" s="36"/>
      <c r="J46" s="36"/>
      <c r="K46" s="36"/>
      <c r="L46" s="36"/>
      <c r="M46" s="36"/>
      <c r="N46" s="36"/>
      <c r="O46" s="36"/>
      <c r="P46" s="36"/>
      <c r="Q46" s="36"/>
      <c r="R46" s="36"/>
      <c r="S46" s="36"/>
      <c r="T46" s="36"/>
      <c r="U46" s="36"/>
      <c r="X46" s="68"/>
      <c r="Y46" s="69"/>
      <c r="Z46" s="69"/>
      <c r="AA46" s="70"/>
    </row>
    <row r="47" spans="1:27" ht="16.8">
      <c r="A47" s="36"/>
      <c r="B47" s="36"/>
      <c r="C47" s="36"/>
      <c r="D47" s="36"/>
      <c r="E47" s="36"/>
      <c r="F47" s="36"/>
      <c r="G47" s="36"/>
      <c r="H47" s="36"/>
      <c r="I47" s="36"/>
      <c r="J47" s="36"/>
      <c r="K47" s="36"/>
      <c r="L47" s="36"/>
      <c r="M47" s="36"/>
      <c r="N47" s="36"/>
      <c r="O47" s="36"/>
      <c r="P47" s="36"/>
      <c r="Q47" s="36"/>
      <c r="R47" s="36"/>
      <c r="S47" s="36"/>
      <c r="T47" s="36"/>
      <c r="U47" s="36"/>
      <c r="X47" s="68"/>
      <c r="Y47" s="69"/>
      <c r="Z47" s="69"/>
      <c r="AA47" s="70"/>
    </row>
    <row r="48" spans="1:27" ht="16.8">
      <c r="A48" s="36"/>
      <c r="B48" s="36"/>
      <c r="C48" s="36"/>
      <c r="D48" s="36"/>
      <c r="E48" s="36"/>
      <c r="F48" s="36"/>
      <c r="G48" s="36"/>
      <c r="H48" s="36"/>
      <c r="I48" s="36"/>
      <c r="J48" s="36"/>
      <c r="K48" s="36"/>
      <c r="L48" s="36"/>
      <c r="M48" s="36"/>
      <c r="N48" s="36"/>
      <c r="O48" s="36"/>
      <c r="P48" s="36"/>
      <c r="Q48" s="36"/>
      <c r="R48" s="36"/>
      <c r="S48" s="36"/>
      <c r="T48" s="36"/>
      <c r="U48" s="36"/>
      <c r="X48" s="68"/>
      <c r="Y48" s="69"/>
      <c r="Z48" s="69"/>
      <c r="AA48" s="70"/>
    </row>
    <row r="49" spans="1:27" ht="16.8">
      <c r="A49" s="36"/>
      <c r="B49" s="36"/>
      <c r="C49" s="36"/>
      <c r="D49" s="75" t="s">
        <v>187</v>
      </c>
      <c r="E49" s="75" t="s">
        <v>186</v>
      </c>
      <c r="F49" s="75" t="s">
        <v>188</v>
      </c>
      <c r="G49" s="75" t="s">
        <v>189</v>
      </c>
      <c r="H49" s="75" t="s">
        <v>190</v>
      </c>
      <c r="I49" s="75" t="s">
        <v>191</v>
      </c>
      <c r="J49" s="75" t="s">
        <v>192</v>
      </c>
      <c r="K49" s="36"/>
      <c r="L49" s="36"/>
      <c r="M49" s="36"/>
      <c r="N49" s="36"/>
      <c r="O49" s="36"/>
      <c r="P49" s="36"/>
      <c r="Q49" s="36"/>
      <c r="R49" s="36"/>
      <c r="S49" s="36"/>
      <c r="T49" s="36"/>
      <c r="U49" s="36"/>
      <c r="X49" s="68"/>
      <c r="Y49" s="69"/>
      <c r="Z49" s="69"/>
      <c r="AA49" s="70"/>
    </row>
    <row r="50" spans="1:27" ht="16.8">
      <c r="A50" s="36"/>
      <c r="B50" s="36"/>
      <c r="C50" s="36"/>
      <c r="D50" s="36"/>
      <c r="E50" s="36"/>
      <c r="F50" s="36"/>
      <c r="G50" s="36"/>
      <c r="H50" s="36"/>
      <c r="I50" s="36"/>
      <c r="J50" s="36"/>
      <c r="K50" s="36"/>
      <c r="L50" s="36"/>
      <c r="M50" s="36"/>
      <c r="N50" s="36"/>
      <c r="O50" s="36"/>
      <c r="P50" s="36"/>
      <c r="Q50" s="36"/>
      <c r="R50" s="36"/>
      <c r="S50" s="36"/>
      <c r="T50" s="36"/>
      <c r="U50" s="36"/>
      <c r="X50" s="68"/>
      <c r="Y50" s="69"/>
      <c r="Z50" s="69"/>
      <c r="AA50" s="70"/>
    </row>
    <row r="51" spans="1:27" ht="16.8">
      <c r="A51" s="36"/>
      <c r="B51" s="36"/>
      <c r="C51" s="36"/>
      <c r="D51" s="36"/>
      <c r="E51" s="36"/>
      <c r="F51" s="36"/>
      <c r="G51" s="36"/>
      <c r="H51" s="36"/>
      <c r="I51" s="36"/>
      <c r="J51" s="36"/>
      <c r="K51" s="36"/>
      <c r="L51" s="36"/>
      <c r="M51" s="36"/>
      <c r="N51" s="36"/>
      <c r="O51" s="36"/>
      <c r="P51" s="36"/>
      <c r="Q51" s="36"/>
      <c r="R51" s="36"/>
      <c r="S51" s="36"/>
      <c r="T51" s="36"/>
      <c r="U51" s="36"/>
      <c r="X51" s="68"/>
      <c r="Y51" s="69"/>
      <c r="Z51" s="69"/>
      <c r="AA51" s="70"/>
    </row>
    <row r="52" spans="1:27" ht="16.8">
      <c r="A52" s="36"/>
      <c r="B52" s="90" t="s">
        <v>77</v>
      </c>
      <c r="C52" s="43"/>
      <c r="D52" s="44" t="s">
        <v>96</v>
      </c>
      <c r="E52" s="43"/>
      <c r="F52" s="43" t="s">
        <v>90</v>
      </c>
      <c r="G52" s="43"/>
      <c r="H52" s="177" t="s">
        <v>185</v>
      </c>
      <c r="I52" s="177"/>
      <c r="J52" s="177"/>
      <c r="K52" s="177"/>
      <c r="L52" s="43" t="s">
        <v>95</v>
      </c>
      <c r="M52" s="36"/>
      <c r="N52" s="36"/>
      <c r="O52" s="36"/>
      <c r="P52" s="35"/>
      <c r="Q52" s="36"/>
      <c r="R52" s="36"/>
      <c r="S52" s="36"/>
      <c r="T52" s="36"/>
      <c r="U52" s="36"/>
      <c r="X52" s="68"/>
      <c r="Y52" s="69"/>
      <c r="Z52" s="69"/>
      <c r="AA52" s="70"/>
    </row>
    <row r="53" spans="1:27" ht="15.6">
      <c r="A53" s="36"/>
      <c r="B53" s="64">
        <v>2761760</v>
      </c>
      <c r="C53" s="46"/>
      <c r="D53" s="58">
        <v>10</v>
      </c>
      <c r="E53" s="46"/>
      <c r="F53" s="46" t="s">
        <v>98</v>
      </c>
      <c r="G53" s="46"/>
      <c r="H53" s="47" t="s">
        <v>101</v>
      </c>
      <c r="I53" s="47"/>
      <c r="J53" s="47"/>
      <c r="K53" s="47"/>
      <c r="L53" s="55">
        <f>B53/$B$77</f>
        <v>2.0454413950697949</v>
      </c>
      <c r="M53" s="46"/>
      <c r="N53" s="36"/>
      <c r="O53" s="36"/>
      <c r="P53" s="35"/>
      <c r="Q53" s="36"/>
      <c r="R53" s="40"/>
      <c r="S53" s="40"/>
      <c r="T53" s="36"/>
      <c r="U53" s="36"/>
      <c r="V53" s="36"/>
      <c r="W53" s="36"/>
      <c r="X53" s="36"/>
      <c r="Y53" s="36"/>
      <c r="Z53" s="36"/>
      <c r="AA53" s="36"/>
    </row>
    <row r="54" spans="1:27" ht="15.6">
      <c r="A54" s="36"/>
      <c r="B54" s="64">
        <v>2736140</v>
      </c>
      <c r="C54" s="46"/>
      <c r="D54" s="58">
        <v>11</v>
      </c>
      <c r="E54" s="46"/>
      <c r="F54" s="46" t="s">
        <v>98</v>
      </c>
      <c r="G54" s="46"/>
      <c r="H54" s="47" t="s">
        <v>102</v>
      </c>
      <c r="I54" s="47"/>
      <c r="J54" s="47"/>
      <c r="K54" s="47"/>
      <c r="L54" s="55">
        <f t="shared" ref="L54:L77" si="1">B54/$B$77</f>
        <v>2.0264664629461899</v>
      </c>
      <c r="M54" s="46"/>
      <c r="N54" s="36"/>
      <c r="O54" s="36"/>
      <c r="P54" s="35"/>
      <c r="Q54" s="36"/>
      <c r="R54" s="41"/>
      <c r="S54" s="41"/>
      <c r="T54" s="36"/>
      <c r="U54" s="36"/>
      <c r="V54" s="36"/>
      <c r="W54" s="36"/>
      <c r="X54" s="36"/>
      <c r="Y54" s="36"/>
      <c r="Z54" s="36"/>
      <c r="AA54" s="36"/>
    </row>
    <row r="55" spans="1:27" ht="15.6">
      <c r="A55" s="36"/>
      <c r="B55" s="64">
        <v>2689136</v>
      </c>
      <c r="C55" s="46"/>
      <c r="D55" s="58">
        <v>14</v>
      </c>
      <c r="E55" s="46"/>
      <c r="F55" s="46" t="s">
        <v>98</v>
      </c>
      <c r="G55" s="46"/>
      <c r="H55" s="46"/>
      <c r="I55" s="46"/>
      <c r="J55" s="46"/>
      <c r="K55" s="46"/>
      <c r="L55" s="55">
        <f t="shared" si="1"/>
        <v>1.9916539059774956</v>
      </c>
      <c r="M55" s="46"/>
      <c r="N55" s="36"/>
      <c r="O55" s="36"/>
      <c r="P55" s="35"/>
      <c r="Q55" s="36"/>
      <c r="R55" s="41"/>
      <c r="S55" s="41"/>
      <c r="T55" s="36"/>
      <c r="U55" s="36"/>
      <c r="V55" s="36"/>
      <c r="W55" s="36"/>
      <c r="X55" s="36"/>
      <c r="Y55" s="36"/>
      <c r="Z55" s="36"/>
      <c r="AA55" s="36"/>
    </row>
    <row r="56" spans="1:27" ht="15.6">
      <c r="A56" s="36"/>
      <c r="B56" s="64">
        <v>2662144</v>
      </c>
      <c r="C56" s="46"/>
      <c r="D56" s="58">
        <v>15</v>
      </c>
      <c r="E56" s="46"/>
      <c r="F56" s="46" t="s">
        <v>98</v>
      </c>
      <c r="G56" s="46"/>
      <c r="H56" s="46"/>
      <c r="I56" s="46"/>
      <c r="J56" s="46"/>
      <c r="K56" s="46"/>
      <c r="L56" s="55">
        <f t="shared" si="1"/>
        <v>1.9716628299478176</v>
      </c>
      <c r="M56" s="46"/>
      <c r="N56" s="36"/>
      <c r="O56" s="36"/>
      <c r="P56" s="35"/>
      <c r="Q56" s="36"/>
      <c r="R56" s="41"/>
      <c r="S56" s="41"/>
      <c r="T56" s="36"/>
      <c r="U56" s="36"/>
      <c r="V56" s="36"/>
      <c r="W56" s="36"/>
      <c r="X56" s="36"/>
      <c r="Y56" s="36"/>
      <c r="Z56" s="36"/>
      <c r="AA56" s="36"/>
    </row>
    <row r="57" spans="1:27" ht="15.6">
      <c r="A57" s="36"/>
      <c r="B57" s="64">
        <v>2660954</v>
      </c>
      <c r="C57" s="46"/>
      <c r="D57" s="58">
        <v>13</v>
      </c>
      <c r="E57" s="46"/>
      <c r="F57" s="46" t="s">
        <v>98</v>
      </c>
      <c r="G57" s="46"/>
      <c r="H57" s="46"/>
      <c r="I57" s="46"/>
      <c r="J57" s="46"/>
      <c r="K57" s="46"/>
      <c r="L57" s="55">
        <f t="shared" si="1"/>
        <v>1.9707814806415298</v>
      </c>
      <c r="M57" s="46"/>
      <c r="N57" s="36"/>
      <c r="O57" s="36"/>
      <c r="P57" s="35"/>
      <c r="Q57" s="36"/>
      <c r="R57" s="41"/>
      <c r="S57" s="41"/>
      <c r="T57" s="36"/>
      <c r="U57" s="36"/>
      <c r="V57" s="36"/>
      <c r="W57" s="36"/>
      <c r="X57" s="36"/>
      <c r="Y57" s="36"/>
      <c r="Z57" s="36"/>
      <c r="AA57" s="36"/>
    </row>
    <row r="58" spans="1:27" ht="15.6">
      <c r="A58" s="36"/>
      <c r="B58" s="64">
        <v>2618532</v>
      </c>
      <c r="C58" s="46"/>
      <c r="D58" s="58">
        <v>12</v>
      </c>
      <c r="E58" s="46"/>
      <c r="F58" s="46" t="s">
        <v>98</v>
      </c>
      <c r="G58" s="46"/>
      <c r="H58" s="46"/>
      <c r="I58" s="46"/>
      <c r="J58" s="46"/>
      <c r="K58" s="46"/>
      <c r="L58" s="55">
        <f t="shared" si="1"/>
        <v>1.9393624888168779</v>
      </c>
      <c r="M58" s="46"/>
      <c r="N58" s="36"/>
      <c r="O58" s="36"/>
      <c r="P58" s="35"/>
      <c r="Q58" s="36"/>
      <c r="R58" s="41"/>
      <c r="S58" s="41"/>
      <c r="T58" s="36"/>
      <c r="U58" s="36"/>
      <c r="V58" s="36"/>
      <c r="W58" s="36"/>
      <c r="X58" s="36"/>
      <c r="Y58" s="36"/>
      <c r="Z58" s="36"/>
      <c r="AA58" s="36"/>
    </row>
    <row r="59" spans="1:27" ht="15.6">
      <c r="A59" s="36"/>
      <c r="B59" s="64">
        <v>2535202</v>
      </c>
      <c r="C59" s="46"/>
      <c r="D59" s="58">
        <v>16</v>
      </c>
      <c r="E59" s="46"/>
      <c r="F59" s="46" t="s">
        <v>98</v>
      </c>
      <c r="G59" s="46"/>
      <c r="H59" s="46"/>
      <c r="I59" s="46"/>
      <c r="J59" s="46"/>
      <c r="K59" s="46"/>
      <c r="L59" s="55">
        <f t="shared" si="1"/>
        <v>1.877645818486666</v>
      </c>
      <c r="M59" s="46"/>
      <c r="N59" s="36"/>
      <c r="O59" s="36"/>
      <c r="P59" s="35"/>
      <c r="Q59" s="36"/>
      <c r="R59" s="41"/>
      <c r="S59" s="41"/>
      <c r="T59" s="36"/>
      <c r="U59" s="36"/>
      <c r="V59" s="36"/>
      <c r="W59" s="36"/>
      <c r="X59" s="36"/>
      <c r="Y59" s="36"/>
      <c r="Z59" s="36"/>
      <c r="AA59" s="36"/>
    </row>
    <row r="60" spans="1:27" ht="15.6">
      <c r="A60" s="36"/>
      <c r="B60" s="64">
        <v>2454203</v>
      </c>
      <c r="C60" s="46"/>
      <c r="D60" s="58">
        <v>9</v>
      </c>
      <c r="E60" s="46"/>
      <c r="F60" s="46" t="s">
        <v>98</v>
      </c>
      <c r="G60" s="46"/>
      <c r="H60" s="46"/>
      <c r="I60" s="46"/>
      <c r="J60" s="46"/>
      <c r="K60" s="46"/>
      <c r="L60" s="55">
        <f t="shared" si="1"/>
        <v>1.8176555559152412</v>
      </c>
      <c r="M60" s="46"/>
      <c r="N60" s="36"/>
      <c r="O60" s="36"/>
      <c r="P60" s="35"/>
      <c r="Q60" s="36"/>
      <c r="R60" s="41"/>
      <c r="S60" s="41"/>
      <c r="T60" s="36"/>
      <c r="U60" s="36"/>
      <c r="V60" s="36"/>
      <c r="W60" s="36"/>
      <c r="X60" s="36"/>
      <c r="Y60" s="36"/>
      <c r="Z60" s="36"/>
      <c r="AA60" s="36"/>
    </row>
    <row r="61" spans="1:27" ht="15.6">
      <c r="A61" s="36"/>
      <c r="B61" s="64">
        <v>2087654</v>
      </c>
      <c r="C61" s="46"/>
      <c r="D61" s="58">
        <v>17</v>
      </c>
      <c r="E61" s="46"/>
      <c r="F61" s="46" t="s">
        <v>98</v>
      </c>
      <c r="G61" s="46"/>
      <c r="H61" s="46"/>
      <c r="I61" s="46"/>
      <c r="J61" s="46"/>
      <c r="K61" s="46"/>
      <c r="L61" s="55">
        <f t="shared" si="1"/>
        <v>1.546178491318231</v>
      </c>
      <c r="M61" s="46"/>
      <c r="N61" s="36"/>
      <c r="O61" s="36"/>
      <c r="P61" s="35"/>
      <c r="Q61" s="36"/>
      <c r="R61" s="41"/>
      <c r="S61" s="41"/>
      <c r="T61" s="36"/>
      <c r="U61" s="36"/>
      <c r="V61" s="36"/>
      <c r="W61" s="36"/>
      <c r="X61" s="36"/>
      <c r="Y61" s="36"/>
      <c r="Z61" s="36"/>
      <c r="AA61" s="36"/>
    </row>
    <row r="62" spans="1:27" ht="15.6">
      <c r="A62" s="36"/>
      <c r="B62" s="65">
        <v>1718118</v>
      </c>
      <c r="C62" s="48"/>
      <c r="D62" s="54">
        <v>8</v>
      </c>
      <c r="E62" s="48"/>
      <c r="F62" s="48" t="s">
        <v>99</v>
      </c>
      <c r="G62" s="48"/>
      <c r="H62" s="49" t="s">
        <v>103</v>
      </c>
      <c r="I62" s="49"/>
      <c r="J62" s="49"/>
      <c r="K62" s="49"/>
      <c r="L62" s="56">
        <f t="shared" si="1"/>
        <v>1.2724891658994721</v>
      </c>
      <c r="M62" s="48"/>
      <c r="N62" s="36"/>
      <c r="O62" s="36"/>
      <c r="P62" s="35"/>
      <c r="Q62" s="36"/>
      <c r="R62" s="41"/>
      <c r="S62" s="41"/>
      <c r="T62" s="36"/>
      <c r="U62" s="36"/>
      <c r="V62" s="36"/>
      <c r="W62" s="36"/>
      <c r="X62" s="36"/>
      <c r="Y62" s="36"/>
      <c r="Z62" s="36"/>
      <c r="AA62" s="36"/>
    </row>
    <row r="63" spans="1:27" ht="15.6">
      <c r="A63" s="36"/>
      <c r="B63" s="65">
        <v>1636502</v>
      </c>
      <c r="C63" s="48"/>
      <c r="D63" s="54">
        <v>18</v>
      </c>
      <c r="E63" s="48"/>
      <c r="F63" s="48" t="s">
        <v>99</v>
      </c>
      <c r="G63" s="48"/>
      <c r="H63" s="49" t="s">
        <v>104</v>
      </c>
      <c r="I63" s="49"/>
      <c r="J63" s="49"/>
      <c r="K63" s="49"/>
      <c r="L63" s="56">
        <f t="shared" si="1"/>
        <v>1.212041934822182</v>
      </c>
      <c r="M63" s="48"/>
      <c r="N63" s="36"/>
      <c r="O63" s="36"/>
      <c r="P63" s="35"/>
      <c r="Q63" s="36"/>
      <c r="R63" s="41"/>
      <c r="S63" s="41"/>
      <c r="T63" s="36"/>
      <c r="U63" s="36"/>
      <c r="V63" s="36"/>
      <c r="W63" s="36"/>
      <c r="X63" s="36"/>
      <c r="Y63" s="36"/>
      <c r="Z63" s="36"/>
      <c r="AA63" s="36"/>
    </row>
    <row r="64" spans="1:27" ht="15.6">
      <c r="A64" s="36"/>
      <c r="B64" s="65">
        <v>1258305</v>
      </c>
      <c r="C64" s="48"/>
      <c r="D64" s="54">
        <v>19</v>
      </c>
      <c r="E64" s="48"/>
      <c r="F64" s="48" t="s">
        <v>99</v>
      </c>
      <c r="G64" s="48"/>
      <c r="H64" s="49" t="s">
        <v>105</v>
      </c>
      <c r="I64" s="48"/>
      <c r="J64" s="48"/>
      <c r="K64" s="48"/>
      <c r="L64" s="56">
        <f t="shared" si="1"/>
        <v>0.931938015838921</v>
      </c>
      <c r="M64" s="48"/>
      <c r="N64" s="36"/>
      <c r="O64" s="36"/>
      <c r="P64" s="35"/>
      <c r="Q64" s="36"/>
      <c r="R64" s="41"/>
      <c r="S64" s="41"/>
      <c r="T64" s="36"/>
      <c r="U64" s="36"/>
      <c r="V64" s="36"/>
      <c r="W64" s="36"/>
      <c r="X64" s="36"/>
      <c r="Y64" s="36"/>
      <c r="Z64" s="36"/>
      <c r="AA64" s="36"/>
    </row>
    <row r="65" spans="1:27" ht="15.6">
      <c r="A65" s="36"/>
      <c r="B65" s="66">
        <v>976156</v>
      </c>
      <c r="C65" s="50"/>
      <c r="D65" s="53">
        <v>20</v>
      </c>
      <c r="E65" s="50"/>
      <c r="F65" s="50" t="s">
        <v>100</v>
      </c>
      <c r="G65" s="50"/>
      <c r="H65" s="50"/>
      <c r="I65" s="50"/>
      <c r="J65" s="50"/>
      <c r="K65" s="50"/>
      <c r="L65" s="57">
        <f t="shared" si="1"/>
        <v>0.72297009531811263</v>
      </c>
      <c r="M65" s="50"/>
      <c r="N65" s="36"/>
      <c r="O65" s="36"/>
      <c r="P65" s="35"/>
      <c r="Q65" s="36"/>
      <c r="R65" s="41"/>
      <c r="S65" s="41"/>
      <c r="T65" s="36"/>
      <c r="U65" s="36"/>
      <c r="V65" s="36"/>
      <c r="W65" s="36"/>
      <c r="X65" s="36"/>
      <c r="Y65" s="36"/>
      <c r="Z65" s="36"/>
      <c r="AA65" s="36"/>
    </row>
    <row r="66" spans="1:27" ht="15.6">
      <c r="A66" s="36"/>
      <c r="B66" s="66">
        <v>891054</v>
      </c>
      <c r="C66" s="50"/>
      <c r="D66" s="53">
        <v>7</v>
      </c>
      <c r="E66" s="50"/>
      <c r="F66" s="50" t="s">
        <v>100</v>
      </c>
      <c r="G66" s="50"/>
      <c r="H66" s="50"/>
      <c r="I66" s="50"/>
      <c r="J66" s="50"/>
      <c r="K66" s="50"/>
      <c r="L66" s="57">
        <f t="shared" si="1"/>
        <v>0.6599410292141682</v>
      </c>
      <c r="M66" s="50"/>
      <c r="N66" s="36"/>
      <c r="O66" s="36"/>
      <c r="P66" s="35"/>
      <c r="Q66" s="36"/>
      <c r="R66" s="41"/>
      <c r="S66" s="41"/>
      <c r="T66" s="36"/>
      <c r="U66" s="36"/>
      <c r="V66" s="36"/>
      <c r="W66" s="36"/>
      <c r="X66" s="36"/>
      <c r="Y66" s="36"/>
      <c r="Z66" s="36"/>
      <c r="AA66" s="36"/>
    </row>
    <row r="67" spans="1:27" ht="15.6">
      <c r="A67" s="36"/>
      <c r="B67" s="66">
        <v>795637</v>
      </c>
      <c r="C67" s="50"/>
      <c r="D67" s="53">
        <v>21</v>
      </c>
      <c r="E67" s="50"/>
      <c r="F67" s="50" t="s">
        <v>100</v>
      </c>
      <c r="G67" s="50"/>
      <c r="H67" s="50"/>
      <c r="I67" s="50"/>
      <c r="J67" s="50"/>
      <c r="K67" s="50"/>
      <c r="L67" s="57">
        <f t="shared" si="1"/>
        <v>0.58927236807294858</v>
      </c>
      <c r="M67" s="50"/>
      <c r="N67" s="36"/>
      <c r="O67" s="36"/>
      <c r="P67" s="35"/>
      <c r="Q67" s="36"/>
      <c r="R67" s="41"/>
      <c r="S67" s="41"/>
      <c r="T67" s="36"/>
      <c r="U67" s="36"/>
      <c r="V67" s="36"/>
      <c r="W67" s="36"/>
      <c r="X67" s="36"/>
      <c r="Y67" s="36"/>
      <c r="Z67" s="36"/>
      <c r="AA67" s="36"/>
    </row>
    <row r="68" spans="1:27" ht="15.6">
      <c r="A68" s="36"/>
      <c r="B68" s="66">
        <v>634225</v>
      </c>
      <c r="C68" s="50"/>
      <c r="D68" s="53">
        <v>22</v>
      </c>
      <c r="E68" s="50"/>
      <c r="F68" s="50" t="s">
        <v>100</v>
      </c>
      <c r="G68" s="50"/>
      <c r="H68" s="51" t="s">
        <v>106</v>
      </c>
      <c r="I68" s="51"/>
      <c r="J68" s="51"/>
      <c r="K68" s="50"/>
      <c r="L68" s="57">
        <f t="shared" si="1"/>
        <v>0.46972585191622035</v>
      </c>
      <c r="M68" s="50"/>
      <c r="N68" s="36"/>
      <c r="O68" s="36"/>
      <c r="P68" s="35"/>
      <c r="Q68" s="36"/>
      <c r="R68" s="41"/>
      <c r="S68" s="41"/>
      <c r="T68" s="36"/>
      <c r="U68" s="36"/>
      <c r="V68" s="36"/>
      <c r="W68" s="36"/>
      <c r="X68" s="36"/>
      <c r="Y68" s="36"/>
      <c r="Z68" s="36"/>
      <c r="AA68" s="36"/>
    </row>
    <row r="69" spans="1:27" ht="15.6">
      <c r="A69" s="36"/>
      <c r="B69" s="66">
        <v>402316</v>
      </c>
      <c r="C69" s="50"/>
      <c r="D69" s="53">
        <v>23</v>
      </c>
      <c r="E69" s="50"/>
      <c r="F69" s="50" t="s">
        <v>100</v>
      </c>
      <c r="G69" s="50"/>
      <c r="H69" s="51" t="s">
        <v>107</v>
      </c>
      <c r="I69" s="51"/>
      <c r="J69" s="51"/>
      <c r="K69" s="50"/>
      <c r="L69" s="57">
        <f t="shared" si="1"/>
        <v>0.29796716597347334</v>
      </c>
      <c r="M69" s="50"/>
      <c r="N69" s="36"/>
      <c r="O69" s="36"/>
      <c r="P69" s="35"/>
      <c r="Q69" s="36"/>
      <c r="R69" s="41"/>
      <c r="S69" s="41"/>
      <c r="T69" s="36"/>
      <c r="U69" s="36"/>
      <c r="V69" s="36"/>
      <c r="W69" s="36"/>
      <c r="X69" s="36"/>
      <c r="Y69" s="36"/>
      <c r="Z69" s="36"/>
      <c r="AA69" s="36"/>
    </row>
    <row r="70" spans="1:27" ht="15.6">
      <c r="A70" s="36"/>
      <c r="B70" s="66">
        <v>290493</v>
      </c>
      <c r="C70" s="50"/>
      <c r="D70" s="53">
        <v>6</v>
      </c>
      <c r="E70" s="50"/>
      <c r="F70" s="50" t="s">
        <v>100</v>
      </c>
      <c r="G70" s="50"/>
      <c r="H70" s="51" t="s">
        <v>10</v>
      </c>
      <c r="I70" s="51"/>
      <c r="J70" s="51"/>
      <c r="K70" s="50"/>
      <c r="L70" s="57">
        <f t="shared" si="1"/>
        <v>0.21514773448019017</v>
      </c>
      <c r="M70" s="50"/>
      <c r="N70" s="36"/>
      <c r="O70" s="36"/>
      <c r="P70" s="35"/>
      <c r="Q70" s="36"/>
      <c r="R70" s="41"/>
      <c r="S70" s="41"/>
      <c r="T70" s="36"/>
      <c r="U70" s="36"/>
      <c r="V70" s="36"/>
      <c r="W70" s="36"/>
      <c r="X70" s="36"/>
      <c r="Y70" s="36"/>
      <c r="Z70" s="36"/>
      <c r="AA70" s="36"/>
    </row>
    <row r="71" spans="1:27" ht="15.6">
      <c r="A71" s="36"/>
      <c r="B71" s="66">
        <v>218769</v>
      </c>
      <c r="C71" s="50"/>
      <c r="D71" s="53">
        <v>0</v>
      </c>
      <c r="E71" s="50"/>
      <c r="F71" s="50" t="s">
        <v>100</v>
      </c>
      <c r="G71" s="50"/>
      <c r="H71" s="50"/>
      <c r="I71" s="50"/>
      <c r="J71" s="50"/>
      <c r="K71" s="50"/>
      <c r="L71" s="57">
        <f t="shared" si="1"/>
        <v>0.16202681209012512</v>
      </c>
      <c r="M71" s="50"/>
      <c r="N71" s="36"/>
      <c r="O71" s="36"/>
      <c r="P71" s="35"/>
      <c r="Q71" s="36"/>
      <c r="R71" s="41"/>
      <c r="S71" s="41"/>
      <c r="T71" s="36"/>
      <c r="U71" s="36"/>
      <c r="V71" s="36"/>
      <c r="W71" s="36"/>
      <c r="X71" s="36"/>
      <c r="Y71" s="36"/>
      <c r="Z71" s="36"/>
      <c r="AA71" s="36"/>
    </row>
    <row r="72" spans="1:27" ht="15.6">
      <c r="A72" s="36"/>
      <c r="B72" s="66">
        <v>115700</v>
      </c>
      <c r="C72" s="50"/>
      <c r="D72" s="53">
        <v>1</v>
      </c>
      <c r="E72" s="50"/>
      <c r="F72" s="50" t="s">
        <v>100</v>
      </c>
      <c r="G72" s="50"/>
      <c r="H72" s="50"/>
      <c r="I72" s="50"/>
      <c r="J72" s="50"/>
      <c r="K72" s="50"/>
      <c r="L72" s="57">
        <f t="shared" si="1"/>
        <v>8.5690852720575028E-2</v>
      </c>
      <c r="M72" s="50"/>
      <c r="N72" s="36"/>
      <c r="O72" s="36"/>
      <c r="P72" s="35"/>
      <c r="Q72" s="36"/>
      <c r="R72" s="41"/>
      <c r="S72" s="41"/>
      <c r="T72" s="36"/>
      <c r="U72" s="36"/>
      <c r="V72" s="36"/>
      <c r="W72" s="36"/>
      <c r="X72" s="36"/>
      <c r="Y72" s="36"/>
      <c r="Z72" s="36"/>
      <c r="AA72" s="36"/>
    </row>
    <row r="73" spans="1:27" ht="15.6">
      <c r="A73" s="36"/>
      <c r="B73" s="66">
        <v>87961</v>
      </c>
      <c r="C73" s="50"/>
      <c r="D73" s="53">
        <v>5</v>
      </c>
      <c r="E73" s="50"/>
      <c r="F73" s="50" t="s">
        <v>100</v>
      </c>
      <c r="G73" s="50"/>
      <c r="H73" s="50"/>
      <c r="I73" s="50"/>
      <c r="J73" s="50"/>
      <c r="K73" s="50"/>
      <c r="L73" s="57">
        <f t="shared" si="1"/>
        <v>6.5146526328042353E-2</v>
      </c>
      <c r="M73" s="50"/>
      <c r="N73" s="36"/>
      <c r="O73" s="36"/>
      <c r="P73" s="35"/>
      <c r="Q73" s="36"/>
      <c r="R73" s="41"/>
      <c r="S73" s="41"/>
      <c r="T73" s="36"/>
      <c r="U73" s="36"/>
      <c r="V73" s="36"/>
      <c r="W73" s="36"/>
      <c r="X73" s="36"/>
      <c r="Y73" s="36"/>
      <c r="Z73" s="36"/>
      <c r="AA73" s="36"/>
    </row>
    <row r="74" spans="1:27" ht="15.6">
      <c r="A74" s="36"/>
      <c r="B74" s="66">
        <v>69375</v>
      </c>
      <c r="C74" s="50"/>
      <c r="D74" s="53">
        <v>2</v>
      </c>
      <c r="E74" s="50"/>
      <c r="F74" s="50" t="s">
        <v>100</v>
      </c>
      <c r="G74" s="50"/>
      <c r="H74" s="50"/>
      <c r="I74" s="50"/>
      <c r="J74" s="50"/>
      <c r="K74" s="50"/>
      <c r="L74" s="57">
        <f t="shared" si="1"/>
        <v>5.1381183297233297E-2</v>
      </c>
      <c r="M74" s="50"/>
      <c r="N74" s="36"/>
      <c r="O74" s="36"/>
      <c r="P74" s="35"/>
      <c r="Q74" s="36"/>
      <c r="R74" s="41"/>
      <c r="S74" s="41"/>
      <c r="T74" s="36"/>
      <c r="U74" s="36"/>
      <c r="V74" s="36"/>
      <c r="W74" s="36"/>
      <c r="X74" s="36"/>
      <c r="Y74" s="36"/>
      <c r="Z74" s="36"/>
      <c r="AA74" s="36"/>
    </row>
    <row r="75" spans="1:27" ht="15.6">
      <c r="A75" s="36"/>
      <c r="B75" s="66">
        <v>53242</v>
      </c>
      <c r="C75" s="50"/>
      <c r="D75" s="53">
        <v>4</v>
      </c>
      <c r="E75" s="50"/>
      <c r="F75" s="50" t="s">
        <v>100</v>
      </c>
      <c r="G75" s="50"/>
      <c r="H75" s="50"/>
      <c r="I75" s="50"/>
      <c r="J75" s="50"/>
      <c r="K75" s="50"/>
      <c r="L75" s="57">
        <f t="shared" si="1"/>
        <v>3.9432604844847501E-2</v>
      </c>
      <c r="M75" s="50"/>
      <c r="N75" s="36"/>
      <c r="O75" s="36"/>
      <c r="P75" s="35"/>
      <c r="Q75" s="36"/>
      <c r="R75" s="41"/>
      <c r="S75" s="41"/>
      <c r="T75" s="36"/>
      <c r="U75" s="36"/>
      <c r="V75" s="36"/>
      <c r="W75" s="36"/>
      <c r="X75" s="36"/>
      <c r="Y75" s="36"/>
      <c r="Z75" s="36"/>
      <c r="AA75" s="36"/>
    </row>
    <row r="76" spans="1:27" ht="15.6">
      <c r="A76" s="36"/>
      <c r="B76" s="66">
        <v>51281</v>
      </c>
      <c r="C76" s="50"/>
      <c r="D76" s="53">
        <v>3</v>
      </c>
      <c r="E76" s="50"/>
      <c r="F76" s="50" t="s">
        <v>100</v>
      </c>
      <c r="G76" s="50"/>
      <c r="H76" s="50"/>
      <c r="I76" s="50"/>
      <c r="J76" s="50"/>
      <c r="K76" s="50"/>
      <c r="L76" s="57">
        <f t="shared" si="1"/>
        <v>3.7980230063645704E-2</v>
      </c>
      <c r="M76" s="50"/>
      <c r="N76" s="36"/>
      <c r="O76" s="36"/>
      <c r="P76" s="35"/>
      <c r="Q76" s="36"/>
      <c r="R76" s="41"/>
      <c r="S76" s="41"/>
      <c r="T76" s="36"/>
      <c r="U76" s="36"/>
      <c r="V76" s="36"/>
      <c r="W76" s="36"/>
      <c r="X76" s="36"/>
      <c r="Y76" s="36"/>
      <c r="Z76" s="36"/>
      <c r="AA76" s="36"/>
    </row>
    <row r="77" spans="1:27" ht="15.6">
      <c r="A77" s="36"/>
      <c r="B77" s="99">
        <f>AVERAGE(B53:B76)</f>
        <v>1350202.4583333333</v>
      </c>
      <c r="C77" s="96"/>
      <c r="D77" s="97" t="s">
        <v>97</v>
      </c>
      <c r="E77" s="96"/>
      <c r="F77" s="96"/>
      <c r="G77" s="96"/>
      <c r="H77" s="96"/>
      <c r="I77" s="96"/>
      <c r="J77" s="96"/>
      <c r="K77" s="96"/>
      <c r="L77" s="98">
        <f t="shared" si="1"/>
        <v>1</v>
      </c>
      <c r="M77" s="96"/>
      <c r="N77" s="36"/>
      <c r="O77" s="36"/>
      <c r="P77" s="36"/>
      <c r="Q77" s="36"/>
      <c r="R77" s="41"/>
      <c r="S77" s="41"/>
      <c r="T77" s="36"/>
      <c r="U77" s="36"/>
      <c r="V77" s="36"/>
      <c r="W77" s="36"/>
      <c r="X77" s="36"/>
      <c r="Y77" s="36"/>
      <c r="Z77" s="36"/>
      <c r="AA77" s="36"/>
    </row>
    <row r="78" spans="1:27" ht="15.6">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row>
    <row r="79" spans="1:27" ht="15.6">
      <c r="A79" s="36"/>
      <c r="B79" s="45" t="s">
        <v>108</v>
      </c>
      <c r="C79" s="36"/>
      <c r="D79" s="36"/>
      <c r="E79" s="36"/>
      <c r="F79" s="36"/>
      <c r="G79" s="36"/>
      <c r="H79" s="36"/>
      <c r="I79" s="36"/>
      <c r="J79" s="36"/>
      <c r="K79" s="36"/>
      <c r="L79" s="36"/>
      <c r="M79" s="36"/>
      <c r="N79" s="36"/>
      <c r="O79" s="36"/>
      <c r="P79" s="36"/>
      <c r="Q79" s="36"/>
      <c r="R79" s="36"/>
      <c r="S79" s="36"/>
      <c r="T79" s="36"/>
      <c r="U79" s="36"/>
      <c r="V79" s="36"/>
      <c r="W79" s="36"/>
      <c r="X79" s="36"/>
      <c r="Y79" s="36"/>
      <c r="Z79" s="36"/>
      <c r="AA79" s="36"/>
    </row>
    <row r="80" spans="1:27" ht="15.6">
      <c r="A80" s="36"/>
      <c r="B80" s="45"/>
      <c r="C80" s="36"/>
      <c r="D80" s="36"/>
      <c r="E80" s="36"/>
      <c r="F80" s="36"/>
      <c r="G80" s="36"/>
      <c r="H80" s="36"/>
      <c r="I80" s="36"/>
      <c r="J80" s="36"/>
      <c r="K80" s="36"/>
      <c r="L80" s="36"/>
      <c r="M80" s="36"/>
      <c r="N80" s="36"/>
      <c r="O80" s="36"/>
      <c r="P80" s="36"/>
      <c r="Q80" s="36"/>
      <c r="R80" s="36"/>
      <c r="S80" s="36"/>
      <c r="T80" s="36"/>
      <c r="U80" s="36"/>
      <c r="V80" s="36"/>
      <c r="W80" s="36"/>
      <c r="X80" s="36"/>
      <c r="Y80" s="36"/>
      <c r="Z80" s="36"/>
      <c r="AA80" s="36"/>
    </row>
    <row r="81" spans="1:27" ht="15.6">
      <c r="A81" s="36"/>
      <c r="B81" s="45"/>
      <c r="C81" s="36"/>
      <c r="D81" s="36"/>
      <c r="E81" s="36"/>
      <c r="F81" s="36"/>
      <c r="G81" s="36"/>
      <c r="H81" s="36"/>
      <c r="I81" s="36"/>
      <c r="J81" s="36"/>
      <c r="K81" s="36"/>
      <c r="L81" s="36"/>
      <c r="M81" s="36"/>
      <c r="N81" s="36"/>
      <c r="O81" s="36"/>
      <c r="P81" s="36"/>
      <c r="R81" s="36"/>
      <c r="S81" s="36"/>
      <c r="T81" s="36"/>
      <c r="U81" s="36"/>
      <c r="V81" s="36"/>
      <c r="W81" s="36"/>
      <c r="X81" s="36"/>
      <c r="Y81" s="36"/>
      <c r="Z81" s="36"/>
      <c r="AA81" s="36"/>
    </row>
    <row r="82" spans="1:27" ht="15.6">
      <c r="A82" s="36"/>
      <c r="B82" s="45"/>
      <c r="C82" s="36"/>
      <c r="D82" s="36"/>
      <c r="E82" s="36"/>
      <c r="F82" s="36"/>
      <c r="G82" s="36"/>
      <c r="H82" s="36"/>
      <c r="I82" s="36"/>
      <c r="J82" s="36"/>
      <c r="K82" s="36"/>
      <c r="L82" s="36"/>
      <c r="M82" s="36"/>
      <c r="N82" s="36"/>
      <c r="O82" s="36"/>
      <c r="P82" s="36"/>
      <c r="Q82" s="36"/>
      <c r="R82" s="36"/>
      <c r="S82" s="36"/>
      <c r="T82" s="36"/>
      <c r="U82" s="36"/>
      <c r="V82" s="36"/>
      <c r="W82" s="36"/>
      <c r="X82" s="36"/>
      <c r="Y82" s="36"/>
      <c r="Z82" s="36"/>
      <c r="AA82" s="36"/>
    </row>
    <row r="83" spans="1:27" ht="15.6">
      <c r="A83" s="36"/>
      <c r="B83" s="45"/>
      <c r="C83" s="36"/>
      <c r="D83" s="36"/>
      <c r="E83" s="36"/>
      <c r="F83" s="36"/>
      <c r="G83" s="36"/>
      <c r="H83" s="36"/>
      <c r="I83" s="36"/>
      <c r="J83" s="36"/>
      <c r="K83" s="36"/>
      <c r="L83" s="36"/>
      <c r="M83" s="36"/>
      <c r="N83" s="36"/>
      <c r="O83" s="36"/>
      <c r="P83" s="36"/>
      <c r="Q83" s="36"/>
      <c r="R83" s="36"/>
      <c r="S83" s="36"/>
      <c r="T83" s="36"/>
      <c r="U83" s="36"/>
      <c r="V83" s="36"/>
      <c r="W83" s="36"/>
      <c r="X83" s="36"/>
      <c r="Y83" s="36"/>
      <c r="Z83" s="36"/>
      <c r="AA83" s="36"/>
    </row>
    <row r="84" spans="1:27" ht="15.6">
      <c r="A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row>
    <row r="85" spans="1:27" ht="15.6">
      <c r="A85" s="36"/>
      <c r="B85" s="45"/>
      <c r="C85" s="36"/>
      <c r="D85" s="36"/>
      <c r="E85" s="36"/>
      <c r="F85" s="36"/>
      <c r="G85" s="36"/>
      <c r="H85" s="36"/>
      <c r="I85" s="36"/>
      <c r="J85" s="36"/>
      <c r="K85" s="36"/>
      <c r="L85" s="36"/>
      <c r="M85" s="36"/>
      <c r="N85" s="36"/>
      <c r="O85" s="36"/>
      <c r="P85" s="36"/>
      <c r="Q85" s="36"/>
      <c r="R85" s="36"/>
      <c r="S85" s="36"/>
      <c r="T85" s="36"/>
      <c r="U85" s="36"/>
      <c r="V85" s="36"/>
      <c r="W85" s="36"/>
      <c r="X85" s="36"/>
      <c r="Y85" s="36"/>
      <c r="Z85" s="36"/>
      <c r="AA85" s="36"/>
    </row>
    <row r="86" spans="1:27" ht="52.2">
      <c r="A86" s="36"/>
      <c r="B86" s="76" t="s">
        <v>195</v>
      </c>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spans="1:27" ht="15.6">
      <c r="A87" s="36"/>
      <c r="B87" s="45"/>
      <c r="C87" s="36"/>
      <c r="D87" s="36"/>
      <c r="E87" s="36"/>
      <c r="F87" s="36"/>
      <c r="G87" s="36"/>
      <c r="H87" s="36"/>
      <c r="I87" s="36"/>
      <c r="J87" s="36"/>
      <c r="K87" s="36"/>
      <c r="L87" s="36"/>
      <c r="M87" s="36"/>
      <c r="N87" s="36"/>
      <c r="O87" s="36"/>
      <c r="P87" s="36"/>
      <c r="Q87" s="36"/>
      <c r="R87" s="36"/>
      <c r="S87" s="36"/>
      <c r="T87" s="36"/>
      <c r="U87" s="36"/>
      <c r="V87" s="36"/>
      <c r="W87" s="36"/>
      <c r="X87" s="36"/>
      <c r="Y87" s="36"/>
      <c r="Z87" s="36"/>
      <c r="AA87" s="36"/>
    </row>
    <row r="88" spans="1:27" ht="15.6">
      <c r="A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row>
    <row r="89" spans="1:27" ht="15.6">
      <c r="A89" s="36"/>
      <c r="B89" s="45"/>
      <c r="C89" s="36"/>
      <c r="D89" s="36"/>
      <c r="E89" s="36"/>
      <c r="F89" s="36"/>
      <c r="G89" s="36"/>
      <c r="H89" s="36"/>
      <c r="I89" s="36"/>
      <c r="J89" s="36"/>
      <c r="K89" s="36"/>
      <c r="L89" s="36"/>
      <c r="M89" s="36"/>
      <c r="N89" s="36"/>
      <c r="O89" s="36"/>
      <c r="P89" s="36"/>
      <c r="Q89" s="36"/>
      <c r="R89" s="36"/>
      <c r="S89" s="36"/>
      <c r="T89" s="36"/>
      <c r="U89" s="36"/>
      <c r="V89" s="36"/>
      <c r="W89" s="36"/>
      <c r="X89" s="36"/>
      <c r="Y89" s="36"/>
      <c r="Z89" s="36"/>
      <c r="AA89" s="36"/>
    </row>
    <row r="90" spans="1:27" ht="15.6">
      <c r="A90" s="36"/>
      <c r="B90" s="45"/>
      <c r="C90" s="36"/>
      <c r="D90" s="36"/>
      <c r="E90" s="36"/>
      <c r="F90" s="36"/>
      <c r="G90" s="36"/>
      <c r="H90" s="36"/>
      <c r="I90" s="36"/>
      <c r="J90" s="36"/>
      <c r="K90" s="36"/>
      <c r="L90" s="36"/>
      <c r="M90" s="36"/>
      <c r="N90" s="36"/>
      <c r="O90" s="36"/>
      <c r="P90" s="36"/>
      <c r="Q90" s="36"/>
      <c r="R90" s="36"/>
      <c r="S90" s="36"/>
      <c r="T90" s="36"/>
      <c r="U90" s="36"/>
      <c r="V90" s="36"/>
      <c r="W90" s="36"/>
      <c r="X90" s="36"/>
      <c r="Y90" s="36"/>
      <c r="Z90" s="36"/>
      <c r="AA90" s="36"/>
    </row>
    <row r="91" spans="1:27" ht="15.6">
      <c r="A91" s="36"/>
      <c r="B91" s="45"/>
      <c r="C91" s="36"/>
      <c r="D91" s="36"/>
      <c r="E91" s="36"/>
      <c r="F91" s="36"/>
      <c r="G91" s="36"/>
      <c r="H91" s="36"/>
      <c r="I91" s="36"/>
      <c r="J91" s="36"/>
      <c r="K91" s="36"/>
      <c r="L91" s="36"/>
      <c r="M91" s="36"/>
      <c r="N91" s="36"/>
      <c r="O91" s="36"/>
      <c r="P91" s="36"/>
      <c r="Q91" s="36"/>
      <c r="R91" s="36"/>
      <c r="S91" s="36"/>
      <c r="T91" s="36"/>
      <c r="U91" s="36"/>
      <c r="V91" s="36"/>
      <c r="W91" s="36"/>
      <c r="X91" s="36"/>
      <c r="Y91" s="36"/>
      <c r="Z91" s="36"/>
      <c r="AA91" s="36"/>
    </row>
    <row r="92" spans="1:27" ht="15.6">
      <c r="A92" s="36"/>
      <c r="B92" s="45"/>
      <c r="C92" s="36"/>
      <c r="D92" s="36"/>
      <c r="E92" s="36"/>
      <c r="F92" s="36"/>
      <c r="G92" s="36"/>
      <c r="H92" s="36"/>
      <c r="I92" s="36"/>
      <c r="J92" s="36"/>
      <c r="K92" s="36"/>
      <c r="L92" s="36"/>
      <c r="M92" s="36"/>
      <c r="N92" s="36"/>
      <c r="O92" s="36"/>
      <c r="P92" s="36"/>
      <c r="Q92" s="36"/>
      <c r="R92" s="36"/>
      <c r="S92" s="36"/>
      <c r="T92" s="36"/>
      <c r="U92" s="36"/>
      <c r="V92" s="36"/>
      <c r="W92" s="36"/>
      <c r="X92" s="36"/>
      <c r="Y92" s="36"/>
      <c r="Z92" s="36"/>
      <c r="AA92" s="36"/>
    </row>
    <row r="93" spans="1:27" ht="15.6">
      <c r="A93" s="36"/>
      <c r="B93" s="45"/>
      <c r="C93" s="36"/>
      <c r="D93" s="36"/>
      <c r="E93" s="36"/>
      <c r="F93" s="36"/>
      <c r="G93" s="36"/>
      <c r="H93" s="36"/>
      <c r="I93" s="36"/>
      <c r="J93" s="36"/>
      <c r="K93" s="36"/>
      <c r="L93" s="36"/>
      <c r="M93" s="36"/>
      <c r="N93" s="36"/>
      <c r="O93" s="36"/>
      <c r="P93" s="36"/>
      <c r="Q93" s="36"/>
      <c r="R93" s="36"/>
      <c r="S93" s="36"/>
      <c r="T93" s="36"/>
      <c r="U93" s="36"/>
      <c r="V93" s="36"/>
      <c r="W93" s="36"/>
      <c r="X93" s="36"/>
      <c r="Y93" s="36"/>
      <c r="Z93" s="36"/>
      <c r="AA93" s="36"/>
    </row>
    <row r="94" spans="1:27" ht="15.6">
      <c r="A94" s="36"/>
      <c r="B94" s="45"/>
      <c r="C94" s="36"/>
      <c r="D94" s="36"/>
      <c r="E94" s="36"/>
      <c r="F94" s="36"/>
      <c r="G94" s="36"/>
      <c r="H94" s="36"/>
      <c r="I94" s="36"/>
      <c r="J94" s="36"/>
      <c r="K94" s="36"/>
      <c r="L94" s="36"/>
      <c r="M94" s="36"/>
      <c r="N94" s="36"/>
      <c r="O94" s="36"/>
      <c r="P94" s="36"/>
      <c r="Q94" s="36"/>
      <c r="R94" s="36"/>
      <c r="S94" s="36"/>
      <c r="T94" s="36"/>
      <c r="U94" s="36"/>
      <c r="V94" s="36"/>
      <c r="W94" s="36"/>
      <c r="X94" s="36"/>
      <c r="Y94" s="36"/>
      <c r="Z94" s="36"/>
      <c r="AA94" s="36"/>
    </row>
    <row r="95" spans="1:27" ht="15.6">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row>
    <row r="96" spans="1:27" ht="15.6">
      <c r="A96" s="67"/>
      <c r="B96" s="60" t="s">
        <v>22</v>
      </c>
      <c r="C96" s="67"/>
      <c r="D96" s="60" t="s">
        <v>134</v>
      </c>
      <c r="E96" s="67"/>
      <c r="F96" s="67"/>
      <c r="G96" s="67"/>
      <c r="H96" s="67"/>
      <c r="I96" s="67"/>
      <c r="J96" s="67"/>
      <c r="K96" s="67"/>
      <c r="L96" s="67"/>
      <c r="M96" s="67"/>
      <c r="N96" s="36"/>
      <c r="O96" s="36"/>
      <c r="P96" s="36"/>
      <c r="Q96" s="36"/>
      <c r="R96" s="36"/>
      <c r="S96" s="36"/>
      <c r="T96" s="36"/>
      <c r="U96" s="36"/>
      <c r="V96" s="36"/>
      <c r="W96" s="36"/>
      <c r="X96" s="36"/>
      <c r="Y96" s="36"/>
      <c r="Z96" s="36"/>
      <c r="AA96" s="36"/>
    </row>
    <row r="97" spans="1:27" ht="15.6">
      <c r="A97" s="67"/>
      <c r="B97" s="67"/>
      <c r="C97" s="67"/>
      <c r="D97" s="60" t="s">
        <v>135</v>
      </c>
      <c r="E97" s="67"/>
      <c r="F97" s="67"/>
      <c r="G97" s="67"/>
      <c r="H97" s="67"/>
      <c r="I97" s="67"/>
      <c r="J97" s="67"/>
      <c r="K97" s="67"/>
      <c r="L97" s="67"/>
      <c r="M97" s="67"/>
      <c r="N97" s="36"/>
      <c r="O97" s="36"/>
      <c r="P97" s="36"/>
      <c r="Q97" s="36"/>
      <c r="R97" s="36"/>
      <c r="S97" s="36"/>
      <c r="T97" s="36"/>
      <c r="U97" s="36"/>
      <c r="V97" s="36"/>
      <c r="W97" s="36"/>
      <c r="X97" s="36"/>
      <c r="Y97" s="36"/>
      <c r="Z97" s="36"/>
      <c r="AA97" s="36"/>
    </row>
    <row r="98" spans="1:27" ht="15.6">
      <c r="A98" s="67"/>
      <c r="B98" s="67"/>
      <c r="C98" s="67"/>
      <c r="D98" s="60" t="s">
        <v>136</v>
      </c>
      <c r="E98" s="67"/>
      <c r="F98" s="67"/>
      <c r="G98" s="67"/>
      <c r="H98" s="67"/>
      <c r="I98" s="67"/>
      <c r="J98" s="67"/>
      <c r="K98" s="67"/>
      <c r="L98" s="67"/>
      <c r="M98" s="67"/>
      <c r="N98" s="36"/>
      <c r="O98" s="36"/>
      <c r="P98" s="36"/>
      <c r="Q98" s="36"/>
      <c r="R98" s="36"/>
      <c r="S98" s="36"/>
      <c r="T98" s="36"/>
      <c r="U98" s="36"/>
      <c r="V98" s="36"/>
      <c r="W98" s="36"/>
      <c r="X98" s="36"/>
      <c r="Y98" s="36"/>
      <c r="Z98" s="36"/>
      <c r="AA98" s="36"/>
    </row>
    <row r="99" spans="1:27" ht="15.6">
      <c r="A99" s="173"/>
      <c r="B99" s="173"/>
      <c r="C99" s="173"/>
      <c r="D99" s="174"/>
      <c r="E99" s="173"/>
      <c r="F99" s="173"/>
      <c r="G99" s="173"/>
      <c r="H99" s="173"/>
      <c r="I99" s="173"/>
      <c r="J99" s="173"/>
      <c r="K99" s="173"/>
      <c r="L99" s="173"/>
      <c r="M99" s="173"/>
      <c r="N99" s="36"/>
      <c r="O99" s="36"/>
      <c r="P99" s="36"/>
      <c r="Q99" s="36"/>
      <c r="R99" s="36"/>
      <c r="S99" s="36"/>
      <c r="T99" s="36"/>
      <c r="U99" s="36"/>
      <c r="V99" s="36"/>
      <c r="W99" s="36"/>
      <c r="X99" s="36"/>
      <c r="Y99" s="36"/>
      <c r="Z99" s="36"/>
      <c r="AA99" s="36"/>
    </row>
    <row r="100" spans="1:27" ht="15.6">
      <c r="A100" s="175"/>
      <c r="B100" s="176" t="s">
        <v>370</v>
      </c>
      <c r="C100" s="175"/>
      <c r="D100" s="175" t="s">
        <v>379</v>
      </c>
      <c r="E100" s="175"/>
      <c r="F100" s="175"/>
      <c r="G100" s="175"/>
      <c r="H100" s="175"/>
      <c r="I100" s="175"/>
      <c r="J100" s="175"/>
      <c r="K100" s="175"/>
      <c r="L100" s="175"/>
      <c r="M100" s="175"/>
      <c r="N100" s="36"/>
      <c r="O100" s="36"/>
      <c r="P100" s="36"/>
      <c r="Q100" s="36"/>
      <c r="R100" s="36"/>
      <c r="S100" s="36"/>
      <c r="T100" s="36"/>
      <c r="U100" s="36"/>
      <c r="V100" s="36"/>
      <c r="W100" s="36"/>
      <c r="X100" s="36"/>
      <c r="Y100" s="36"/>
      <c r="Z100" s="36"/>
      <c r="AA100" s="36"/>
    </row>
    <row r="101" spans="1:27" ht="15.6">
      <c r="A101" s="173"/>
      <c r="B101" s="173"/>
      <c r="C101" s="173"/>
      <c r="D101" s="173"/>
      <c r="E101" s="173"/>
      <c r="F101" s="173"/>
      <c r="G101" s="173"/>
      <c r="H101" s="173"/>
      <c r="I101" s="173"/>
      <c r="J101" s="173"/>
      <c r="K101" s="173"/>
      <c r="L101" s="173"/>
      <c r="M101" s="173"/>
      <c r="N101" s="36"/>
      <c r="O101" s="36"/>
      <c r="P101" s="36"/>
      <c r="Q101" s="36"/>
      <c r="R101" s="36"/>
      <c r="S101" s="36"/>
      <c r="T101" s="36"/>
      <c r="U101" s="36"/>
      <c r="V101" s="36"/>
      <c r="W101" s="36"/>
      <c r="X101" s="36"/>
      <c r="Y101" s="36"/>
      <c r="Z101" s="36"/>
      <c r="AA101" s="36"/>
    </row>
    <row r="102" spans="1:27" ht="15.6">
      <c r="A102" s="52"/>
      <c r="B102" s="88" t="s">
        <v>372</v>
      </c>
      <c r="C102" s="52"/>
      <c r="D102" s="88" t="s">
        <v>377</v>
      </c>
      <c r="E102" s="52"/>
      <c r="F102" s="52"/>
      <c r="G102" s="52"/>
      <c r="H102" s="52"/>
      <c r="I102" s="52"/>
      <c r="J102" s="52"/>
      <c r="K102" s="52"/>
      <c r="L102" s="52"/>
      <c r="M102" s="52"/>
      <c r="N102" s="36"/>
      <c r="O102" s="36"/>
      <c r="P102" s="36"/>
      <c r="Q102" s="36"/>
      <c r="R102" s="36"/>
      <c r="S102" s="36"/>
      <c r="T102" s="36"/>
      <c r="U102" s="36"/>
      <c r="V102" s="36"/>
      <c r="W102" s="36"/>
      <c r="X102" s="36"/>
      <c r="Y102" s="36"/>
      <c r="Z102" s="36"/>
      <c r="AA102" s="36"/>
    </row>
    <row r="103" spans="1:27" ht="15.6">
      <c r="A103" s="52"/>
      <c r="B103" s="52"/>
      <c r="C103" s="52"/>
      <c r="D103" s="88" t="s">
        <v>378</v>
      </c>
      <c r="E103" s="52"/>
      <c r="F103" s="52"/>
      <c r="G103" s="52"/>
      <c r="H103" s="52"/>
      <c r="I103" s="52"/>
      <c r="J103" s="52"/>
      <c r="K103" s="52"/>
      <c r="L103" s="52"/>
      <c r="M103" s="52"/>
      <c r="N103" s="36"/>
      <c r="O103" s="36"/>
      <c r="P103" s="36"/>
      <c r="Q103" s="36"/>
      <c r="R103" s="36"/>
      <c r="S103" s="36"/>
      <c r="T103" s="36"/>
      <c r="U103" s="36"/>
      <c r="V103" s="36"/>
      <c r="W103" s="36"/>
      <c r="X103" s="36"/>
      <c r="Y103" s="36"/>
      <c r="Z103" s="36"/>
      <c r="AA103" s="36"/>
    </row>
    <row r="104" spans="1:27" ht="15.6">
      <c r="A104" s="36"/>
      <c r="H104" s="36"/>
      <c r="I104" s="36"/>
      <c r="J104" s="36"/>
      <c r="K104" s="36"/>
      <c r="L104" s="36"/>
      <c r="M104" s="36"/>
      <c r="N104" s="36"/>
      <c r="O104" s="36"/>
      <c r="P104" s="35"/>
      <c r="Q104" s="36"/>
      <c r="R104" s="36"/>
      <c r="S104" s="36"/>
      <c r="T104" s="36"/>
      <c r="U104" s="36"/>
      <c r="V104" s="36"/>
      <c r="W104" s="36"/>
      <c r="X104" s="36"/>
      <c r="Y104" s="36"/>
      <c r="Z104" s="36"/>
      <c r="AA104" s="36"/>
    </row>
    <row r="105" spans="1:27" ht="15.6">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row>
    <row r="106" spans="1:27" ht="15.6">
      <c r="A106" s="43" t="s">
        <v>161</v>
      </c>
      <c r="B106" s="90" t="s">
        <v>160</v>
      </c>
      <c r="C106" s="36"/>
      <c r="D106" s="44" t="s">
        <v>96</v>
      </c>
      <c r="E106" s="36"/>
      <c r="N106" s="36"/>
      <c r="O106" s="36"/>
      <c r="P106" s="36"/>
      <c r="Q106" s="36"/>
      <c r="R106" s="36"/>
      <c r="S106" s="36"/>
      <c r="T106" s="36"/>
      <c r="U106" s="36"/>
      <c r="V106" s="36"/>
      <c r="W106" s="36"/>
      <c r="X106" s="36"/>
      <c r="Y106" s="36"/>
      <c r="Z106" s="36"/>
      <c r="AA106" s="36"/>
    </row>
    <row r="107" spans="1:27" ht="15.6">
      <c r="A107" s="58">
        <v>1</v>
      </c>
      <c r="B107" s="120">
        <v>21399998</v>
      </c>
      <c r="C107" s="86"/>
      <c r="D107" s="46">
        <v>10</v>
      </c>
      <c r="E107" s="46"/>
      <c r="N107" s="36"/>
      <c r="O107" s="36"/>
      <c r="P107" s="36"/>
      <c r="Q107" s="36"/>
      <c r="R107" s="36"/>
      <c r="S107" s="36"/>
      <c r="T107" s="36"/>
      <c r="U107" s="36"/>
      <c r="V107" s="36"/>
      <c r="W107" s="36"/>
      <c r="X107" s="36"/>
      <c r="Y107" s="36"/>
      <c r="Z107" s="36"/>
      <c r="AA107" s="36"/>
    </row>
    <row r="108" spans="1:27" ht="15.6">
      <c r="A108" s="58">
        <v>2</v>
      </c>
      <c r="B108" s="120">
        <v>21261918</v>
      </c>
      <c r="C108" s="86"/>
      <c r="D108" s="46">
        <v>11</v>
      </c>
      <c r="E108" s="46"/>
      <c r="N108" s="36"/>
      <c r="O108" s="36"/>
      <c r="P108" s="36"/>
      <c r="Q108" s="36"/>
      <c r="R108" s="36"/>
      <c r="S108" s="36"/>
      <c r="T108" s="36"/>
      <c r="U108" s="36"/>
      <c r="V108" s="36"/>
      <c r="W108" s="36"/>
      <c r="X108" s="36"/>
      <c r="Y108" s="36"/>
      <c r="Z108" s="36"/>
      <c r="AA108" s="36"/>
    </row>
    <row r="109" spans="1:27" ht="15.6">
      <c r="A109" s="58">
        <v>3</v>
      </c>
      <c r="B109" s="120">
        <v>20979668</v>
      </c>
      <c r="C109" s="86"/>
      <c r="D109" s="46">
        <v>14</v>
      </c>
      <c r="E109" s="46"/>
      <c r="N109" s="36"/>
      <c r="O109" s="36"/>
      <c r="P109" s="36"/>
      <c r="Q109" s="36"/>
      <c r="R109" s="36"/>
      <c r="S109" s="36"/>
      <c r="T109" s="36"/>
      <c r="U109" s="36"/>
      <c r="V109" s="36"/>
      <c r="W109" s="36"/>
      <c r="X109" s="36"/>
      <c r="Y109" s="36"/>
      <c r="Z109" s="36"/>
      <c r="AA109" s="36"/>
    </row>
    <row r="110" spans="1:27" ht="15.6">
      <c r="A110" s="58">
        <v>4</v>
      </c>
      <c r="B110" s="120">
        <v>20777236</v>
      </c>
      <c r="C110" s="86"/>
      <c r="D110" s="46">
        <v>15</v>
      </c>
      <c r="E110" s="46"/>
      <c r="N110" s="36"/>
      <c r="O110" s="36"/>
      <c r="P110" s="36"/>
      <c r="Q110" s="36"/>
      <c r="R110" s="36"/>
      <c r="S110" s="36"/>
      <c r="T110" s="36"/>
      <c r="U110" s="36"/>
      <c r="V110" s="36"/>
      <c r="W110" s="36"/>
      <c r="X110" s="36"/>
      <c r="Y110" s="36"/>
      <c r="Z110" s="36"/>
      <c r="AA110" s="36"/>
    </row>
    <row r="111" spans="1:27" ht="15.6">
      <c r="A111" s="58">
        <v>5</v>
      </c>
      <c r="B111" s="120">
        <v>20734934</v>
      </c>
      <c r="C111" s="86"/>
      <c r="D111" s="46">
        <v>13</v>
      </c>
      <c r="E111" s="46"/>
      <c r="N111" s="36"/>
      <c r="O111" s="36"/>
      <c r="P111" s="36"/>
      <c r="Q111" s="36"/>
      <c r="R111" s="36"/>
      <c r="S111" s="36"/>
      <c r="T111" s="36"/>
      <c r="U111" s="36"/>
      <c r="V111" s="36"/>
      <c r="W111" s="36"/>
      <c r="X111" s="36"/>
      <c r="Y111" s="36"/>
      <c r="Z111" s="36"/>
      <c r="AA111" s="36"/>
    </row>
    <row r="112" spans="1:27" ht="15.6">
      <c r="A112" s="58">
        <v>6</v>
      </c>
      <c r="B112" s="120">
        <v>20392993</v>
      </c>
      <c r="C112" s="86"/>
      <c r="D112" s="46">
        <v>12</v>
      </c>
      <c r="E112" s="46"/>
      <c r="N112" s="36"/>
      <c r="O112" s="36"/>
      <c r="P112" s="36"/>
      <c r="Q112" s="36"/>
      <c r="R112" s="36"/>
      <c r="S112" s="36"/>
      <c r="T112" s="36"/>
      <c r="U112" s="36"/>
      <c r="V112" s="36"/>
      <c r="W112" s="36"/>
      <c r="X112" s="36"/>
      <c r="Y112" s="36"/>
      <c r="Z112" s="36"/>
      <c r="AA112" s="36"/>
    </row>
    <row r="113" spans="1:27" ht="15.6">
      <c r="A113" s="58">
        <v>7</v>
      </c>
      <c r="B113" s="120">
        <v>19777858</v>
      </c>
      <c r="C113" s="86"/>
      <c r="D113" s="46">
        <v>16</v>
      </c>
      <c r="E113" s="46"/>
      <c r="N113" s="36"/>
      <c r="O113" s="36"/>
      <c r="P113" s="36"/>
      <c r="Q113" s="36"/>
      <c r="R113" s="36"/>
      <c r="S113" s="36"/>
      <c r="T113" s="36"/>
      <c r="U113" s="36"/>
      <c r="V113" s="36"/>
      <c r="W113" s="36"/>
      <c r="X113" s="36"/>
      <c r="Y113" s="36"/>
      <c r="Z113" s="36"/>
      <c r="AA113" s="36"/>
    </row>
    <row r="114" spans="1:27" ht="15.6">
      <c r="A114" s="58">
        <v>8</v>
      </c>
      <c r="B114" s="120">
        <v>19026014</v>
      </c>
      <c r="C114" s="86"/>
      <c r="D114" s="46">
        <v>9</v>
      </c>
      <c r="E114" s="46"/>
      <c r="N114" s="36"/>
      <c r="O114" s="36"/>
      <c r="P114" s="36"/>
      <c r="Q114" s="36"/>
      <c r="R114" s="36"/>
      <c r="S114" s="36"/>
      <c r="T114" s="36"/>
      <c r="U114" s="36"/>
      <c r="V114" s="36"/>
      <c r="W114" s="36"/>
      <c r="X114" s="36"/>
      <c r="Y114" s="36"/>
      <c r="Z114" s="36"/>
      <c r="AA114" s="36"/>
    </row>
    <row r="115" spans="1:27" ht="15.6">
      <c r="A115" s="58">
        <v>9</v>
      </c>
      <c r="B115" s="120">
        <v>16294343</v>
      </c>
      <c r="C115" s="86"/>
      <c r="D115" s="46">
        <v>17</v>
      </c>
      <c r="E115" s="46"/>
      <c r="N115" s="36"/>
      <c r="O115" s="36"/>
      <c r="P115" s="36"/>
      <c r="Q115" s="36"/>
      <c r="R115" s="36"/>
      <c r="S115" s="36"/>
      <c r="T115" s="36"/>
      <c r="U115" s="36"/>
      <c r="V115" s="36"/>
      <c r="W115" s="36"/>
      <c r="X115" s="36"/>
      <c r="Y115" s="36"/>
      <c r="Z115" s="36"/>
      <c r="AA115" s="36"/>
    </row>
    <row r="116" spans="1:27" ht="15.6">
      <c r="A116" s="58">
        <v>10</v>
      </c>
      <c r="B116" s="120">
        <v>13383027</v>
      </c>
      <c r="C116" s="86"/>
      <c r="D116" s="46">
        <v>8</v>
      </c>
      <c r="E116" s="46"/>
      <c r="N116" s="36"/>
      <c r="O116" s="36"/>
      <c r="P116" s="36"/>
      <c r="Q116" s="36"/>
      <c r="R116" s="36"/>
      <c r="S116" s="36"/>
      <c r="T116" s="36"/>
      <c r="U116" s="36"/>
      <c r="V116" s="36"/>
      <c r="W116" s="36"/>
      <c r="X116" s="36"/>
      <c r="Y116" s="36"/>
      <c r="Z116" s="36"/>
      <c r="AA116" s="36"/>
    </row>
    <row r="117" spans="1:27" ht="15.6">
      <c r="A117" s="72">
        <v>11</v>
      </c>
      <c r="B117" s="119">
        <v>12778651</v>
      </c>
      <c r="D117" s="36">
        <v>18</v>
      </c>
      <c r="E117" s="36"/>
      <c r="F117" s="37"/>
      <c r="G117" s="45"/>
      <c r="H117" s="45"/>
      <c r="I117" s="45"/>
      <c r="J117" s="45"/>
      <c r="K117" s="36"/>
      <c r="L117" s="36"/>
      <c r="M117" s="36"/>
      <c r="N117" s="36"/>
      <c r="O117" s="36"/>
      <c r="P117" s="36"/>
      <c r="Q117" s="36"/>
      <c r="R117" s="36"/>
      <c r="S117" s="36"/>
      <c r="T117" s="36"/>
      <c r="U117" s="36"/>
      <c r="V117" s="36"/>
      <c r="W117" s="36"/>
      <c r="X117" s="36"/>
      <c r="Y117" s="36"/>
      <c r="Z117" s="36"/>
      <c r="AA117" s="36"/>
    </row>
    <row r="118" spans="1:27" ht="15.6">
      <c r="A118" s="72">
        <v>12</v>
      </c>
      <c r="B118" s="119">
        <v>9805649</v>
      </c>
      <c r="D118" s="36">
        <v>19</v>
      </c>
      <c r="E118" s="36"/>
      <c r="F118" s="37"/>
      <c r="G118" s="45"/>
      <c r="H118" s="45"/>
      <c r="I118" s="45"/>
      <c r="J118" s="45"/>
      <c r="K118" s="36"/>
      <c r="L118" s="36"/>
      <c r="M118" s="36"/>
      <c r="N118" s="36"/>
      <c r="O118" s="36"/>
      <c r="P118" s="36"/>
      <c r="Q118" s="36"/>
      <c r="R118" s="36"/>
      <c r="S118" s="36"/>
      <c r="T118" s="36"/>
      <c r="U118" s="36"/>
      <c r="V118" s="36"/>
      <c r="W118" s="36"/>
      <c r="X118" s="36"/>
      <c r="Y118" s="36"/>
      <c r="Z118" s="36"/>
      <c r="AA118" s="36"/>
    </row>
    <row r="119" spans="1:27" ht="15.6">
      <c r="A119" s="72">
        <v>13</v>
      </c>
      <c r="B119" s="119">
        <v>7613150</v>
      </c>
      <c r="D119" s="36">
        <v>20</v>
      </c>
      <c r="E119" s="36"/>
      <c r="F119" s="37"/>
      <c r="G119" s="45"/>
      <c r="H119" s="45"/>
      <c r="I119" s="45"/>
      <c r="J119" s="45"/>
      <c r="K119" s="36"/>
      <c r="L119" s="36"/>
      <c r="M119" s="36"/>
      <c r="N119" s="36"/>
      <c r="O119" s="36"/>
      <c r="P119" s="36"/>
      <c r="Q119" s="36"/>
      <c r="R119" s="36"/>
      <c r="S119" s="36"/>
      <c r="T119" s="36"/>
      <c r="U119" s="36"/>
      <c r="V119" s="36"/>
      <c r="W119" s="36"/>
      <c r="X119" s="36"/>
      <c r="Y119" s="36"/>
      <c r="Z119" s="36"/>
      <c r="AA119" s="36"/>
    </row>
    <row r="120" spans="1:27" ht="15.6">
      <c r="A120" s="72">
        <v>14</v>
      </c>
      <c r="B120" s="119">
        <v>6967056</v>
      </c>
      <c r="D120" s="36">
        <v>7</v>
      </c>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spans="1:27" ht="15.6">
      <c r="A121" s="72">
        <v>15</v>
      </c>
      <c r="B121" s="119">
        <v>6209528</v>
      </c>
      <c r="D121" s="36">
        <v>21</v>
      </c>
      <c r="E121" s="36"/>
      <c r="F121" s="36"/>
      <c r="G121" s="36"/>
      <c r="H121" s="36"/>
      <c r="I121" s="36"/>
      <c r="J121" s="36"/>
      <c r="K121" s="36"/>
      <c r="L121" s="36"/>
      <c r="M121" s="36"/>
      <c r="N121" s="36"/>
      <c r="O121" s="36"/>
      <c r="P121" s="36"/>
      <c r="Q121" s="36"/>
      <c r="R121" s="36"/>
      <c r="S121" s="36"/>
      <c r="T121" s="36"/>
      <c r="U121" s="36"/>
      <c r="V121" s="36"/>
      <c r="W121" s="36"/>
      <c r="X121" s="36"/>
      <c r="Y121" s="36"/>
      <c r="Z121" s="36"/>
      <c r="AA121" s="36"/>
    </row>
    <row r="122" spans="1:27" ht="15.6">
      <c r="A122" s="72">
        <v>16</v>
      </c>
      <c r="B122" s="119">
        <v>4957118</v>
      </c>
      <c r="D122" s="36">
        <v>22</v>
      </c>
      <c r="E122" s="36"/>
      <c r="G122" s="177" t="s">
        <v>185</v>
      </c>
      <c r="H122" s="177"/>
      <c r="I122" s="177"/>
      <c r="J122" s="176"/>
      <c r="K122" s="175"/>
      <c r="L122" s="175"/>
      <c r="M122" s="175"/>
      <c r="N122" s="36"/>
      <c r="O122" s="36"/>
      <c r="P122" s="36"/>
      <c r="Q122" s="36"/>
      <c r="R122" s="36"/>
      <c r="S122" s="36"/>
      <c r="T122" s="36"/>
      <c r="U122" s="36"/>
      <c r="V122" s="36"/>
      <c r="W122" s="36"/>
      <c r="X122" s="36"/>
      <c r="Y122" s="36"/>
      <c r="Z122" s="36"/>
      <c r="AA122" s="36"/>
    </row>
    <row r="123" spans="1:27" ht="15.6">
      <c r="A123" s="72">
        <v>17</v>
      </c>
      <c r="B123" s="119">
        <v>3136697</v>
      </c>
      <c r="D123" s="36">
        <v>23</v>
      </c>
      <c r="E123" s="36"/>
      <c r="G123" s="47" t="s">
        <v>162</v>
      </c>
      <c r="H123" s="121"/>
      <c r="I123" s="121"/>
      <c r="J123" s="121"/>
      <c r="K123" s="46"/>
      <c r="L123" s="46"/>
      <c r="M123" s="46"/>
      <c r="N123" s="36"/>
      <c r="O123" s="36"/>
      <c r="P123" s="36"/>
      <c r="Q123" s="36"/>
      <c r="R123" s="36"/>
      <c r="T123" s="36"/>
      <c r="U123" s="36"/>
      <c r="V123" s="36"/>
      <c r="W123" s="36"/>
      <c r="X123" s="36"/>
      <c r="Y123" s="36"/>
      <c r="Z123" s="36"/>
      <c r="AA123" s="36"/>
    </row>
    <row r="124" spans="1:27" ht="15.6">
      <c r="A124" s="72">
        <v>18</v>
      </c>
      <c r="B124" s="119">
        <v>2270681</v>
      </c>
      <c r="D124" s="36">
        <v>6</v>
      </c>
      <c r="E124" s="36"/>
      <c r="F124" s="37"/>
      <c r="G124" s="47" t="s">
        <v>163</v>
      </c>
      <c r="H124" s="47"/>
      <c r="I124" s="47"/>
      <c r="J124" s="47"/>
      <c r="K124" s="46"/>
      <c r="L124" s="46"/>
      <c r="M124" s="46"/>
      <c r="N124" s="36"/>
      <c r="O124" s="36"/>
      <c r="P124" s="36"/>
      <c r="Q124" s="36"/>
      <c r="R124" s="36"/>
      <c r="S124" s="36"/>
      <c r="T124" s="36"/>
      <c r="U124" s="36"/>
      <c r="V124" s="36"/>
      <c r="W124" s="36"/>
      <c r="X124" s="36"/>
      <c r="Y124" s="36"/>
      <c r="Z124" s="36"/>
      <c r="AA124" s="36"/>
    </row>
    <row r="125" spans="1:27" ht="15.6">
      <c r="A125" s="72">
        <v>19</v>
      </c>
      <c r="B125" s="119">
        <v>1708627</v>
      </c>
      <c r="D125" s="36">
        <v>0</v>
      </c>
      <c r="E125" s="36"/>
      <c r="G125" s="86"/>
      <c r="H125" s="86"/>
      <c r="I125" s="86"/>
      <c r="J125" s="86"/>
      <c r="K125" s="86"/>
      <c r="L125" s="46"/>
      <c r="M125" s="46"/>
      <c r="N125" s="36"/>
      <c r="O125" s="36"/>
      <c r="P125" s="36"/>
      <c r="Q125" s="36"/>
      <c r="R125" s="36"/>
      <c r="S125" s="36"/>
      <c r="T125" s="36"/>
      <c r="U125" s="36"/>
      <c r="V125" s="36"/>
      <c r="W125" s="36"/>
      <c r="X125" s="36"/>
      <c r="Y125" s="36"/>
      <c r="Z125" s="36"/>
      <c r="AA125" s="36"/>
    </row>
    <row r="126" spans="1:27" ht="15.6">
      <c r="A126" s="72">
        <v>20</v>
      </c>
      <c r="B126" s="119">
        <v>902988</v>
      </c>
      <c r="D126" s="36">
        <v>1</v>
      </c>
      <c r="E126" s="36"/>
      <c r="G126" s="122" t="s">
        <v>296</v>
      </c>
      <c r="H126" s="47"/>
      <c r="I126" s="47"/>
      <c r="J126" s="47"/>
      <c r="K126" s="46"/>
      <c r="L126" s="46"/>
      <c r="M126" s="46"/>
      <c r="N126" s="36"/>
      <c r="O126" s="36"/>
      <c r="P126" s="36"/>
      <c r="Q126" s="36"/>
      <c r="R126" s="36"/>
      <c r="S126" s="36"/>
      <c r="T126" s="36"/>
      <c r="U126" s="36"/>
      <c r="V126" s="36"/>
      <c r="W126" s="36"/>
      <c r="X126" s="36"/>
      <c r="Y126" s="36"/>
      <c r="Z126" s="36"/>
      <c r="AA126" s="36"/>
    </row>
    <row r="127" spans="1:27" ht="15.6">
      <c r="A127" s="72">
        <v>21</v>
      </c>
      <c r="B127" s="119">
        <v>688440</v>
      </c>
      <c r="D127" s="36">
        <v>5</v>
      </c>
      <c r="E127" s="36"/>
      <c r="F127" s="37"/>
      <c r="G127" s="47"/>
      <c r="H127" s="47"/>
      <c r="I127" s="47"/>
      <c r="J127" s="47"/>
      <c r="K127" s="46"/>
      <c r="L127" s="46"/>
      <c r="M127" s="46"/>
      <c r="N127" s="36"/>
      <c r="O127" s="36"/>
      <c r="P127" s="36"/>
      <c r="Q127" s="36"/>
      <c r="R127" s="36"/>
      <c r="S127" s="36"/>
      <c r="T127" s="36"/>
      <c r="U127" s="36"/>
      <c r="V127" s="36"/>
      <c r="W127" s="36"/>
      <c r="X127" s="36"/>
      <c r="Y127" s="36"/>
      <c r="Z127" s="36"/>
      <c r="AA127" s="36"/>
    </row>
    <row r="128" spans="1:27" ht="15.6">
      <c r="A128" s="72">
        <v>22</v>
      </c>
      <c r="B128" s="119">
        <v>540953</v>
      </c>
      <c r="D128" s="36">
        <v>2</v>
      </c>
      <c r="E128" s="36"/>
      <c r="F128" s="45"/>
      <c r="G128" s="86"/>
      <c r="H128" s="86"/>
      <c r="I128" s="86"/>
      <c r="J128" s="86"/>
      <c r="K128" s="86"/>
      <c r="L128" s="46"/>
      <c r="M128" s="46"/>
      <c r="N128" s="36"/>
      <c r="O128" s="36"/>
      <c r="P128" s="36"/>
      <c r="Q128" s="36"/>
      <c r="R128" s="36"/>
      <c r="S128" s="36"/>
      <c r="T128" s="36"/>
      <c r="U128" s="36"/>
      <c r="V128" s="36"/>
      <c r="W128" s="36"/>
      <c r="X128" s="36"/>
      <c r="Y128" s="36"/>
      <c r="Z128" s="36"/>
      <c r="AA128" s="36"/>
    </row>
    <row r="129" spans="1:27" ht="15.6">
      <c r="A129" s="72">
        <v>23</v>
      </c>
      <c r="B129" s="119">
        <v>417265</v>
      </c>
      <c r="D129" s="36">
        <v>4</v>
      </c>
      <c r="E129" s="36"/>
      <c r="F129" s="45"/>
      <c r="G129" s="47"/>
      <c r="H129" s="47"/>
      <c r="I129" s="47"/>
      <c r="J129" s="47"/>
      <c r="K129" s="46"/>
      <c r="L129" s="46"/>
      <c r="M129" s="46"/>
      <c r="N129" s="36"/>
      <c r="O129" s="36"/>
      <c r="P129" s="36"/>
      <c r="Q129" s="36"/>
      <c r="R129" s="36"/>
      <c r="S129" s="36"/>
      <c r="T129" s="36"/>
      <c r="U129" s="36"/>
      <c r="V129" s="36"/>
      <c r="W129" s="36"/>
      <c r="X129" s="36"/>
      <c r="Y129" s="36"/>
      <c r="Z129" s="36"/>
      <c r="AA129" s="36"/>
    </row>
    <row r="130" spans="1:27" ht="15.6">
      <c r="A130" s="72">
        <v>24</v>
      </c>
      <c r="B130" s="119">
        <v>401331</v>
      </c>
      <c r="D130" s="36">
        <v>3</v>
      </c>
      <c r="E130" s="36"/>
      <c r="F130" s="37"/>
      <c r="G130" s="47"/>
      <c r="H130" s="47"/>
      <c r="I130" s="47"/>
      <c r="J130" s="47"/>
      <c r="K130" s="46"/>
      <c r="L130" s="46"/>
      <c r="M130" s="46"/>
      <c r="N130" s="36"/>
      <c r="O130" s="36"/>
      <c r="P130" s="36"/>
      <c r="Q130" s="36"/>
      <c r="R130" s="36"/>
      <c r="S130" s="36"/>
      <c r="T130" s="36"/>
      <c r="U130" s="36"/>
      <c r="V130" s="36"/>
      <c r="W130" s="36"/>
      <c r="X130" s="36"/>
      <c r="Y130" s="36"/>
      <c r="Z130" s="36"/>
      <c r="AA130" s="36"/>
    </row>
    <row r="131" spans="1:27" ht="15.6">
      <c r="A131" s="72"/>
      <c r="B131" s="119"/>
      <c r="D131" s="36"/>
      <c r="E131" s="36"/>
      <c r="F131" s="37"/>
      <c r="G131" s="45"/>
      <c r="H131" s="45"/>
      <c r="I131" s="45"/>
      <c r="J131" s="45"/>
      <c r="K131" s="36"/>
      <c r="L131" s="36"/>
      <c r="M131" s="36"/>
      <c r="N131" s="36"/>
      <c r="O131" s="36"/>
      <c r="P131" s="36"/>
      <c r="Q131" s="36"/>
      <c r="R131" s="36"/>
      <c r="S131" s="36"/>
      <c r="T131" s="36"/>
      <c r="U131" s="36"/>
      <c r="V131" s="36"/>
      <c r="W131" s="36"/>
      <c r="X131" s="36"/>
      <c r="Y131" s="36"/>
      <c r="Z131" s="36"/>
      <c r="AA131" s="36"/>
    </row>
    <row r="132" spans="1:27" ht="15.6">
      <c r="A132" s="45" t="s">
        <v>108</v>
      </c>
      <c r="B132" s="119"/>
      <c r="D132" s="36"/>
      <c r="E132" s="36"/>
      <c r="F132" s="37"/>
      <c r="G132" s="45"/>
      <c r="H132" s="45"/>
      <c r="I132" s="45"/>
      <c r="J132" s="45"/>
      <c r="K132" s="36"/>
      <c r="L132" s="36"/>
      <c r="M132" s="36"/>
      <c r="N132" s="36"/>
      <c r="O132" s="36"/>
      <c r="P132" s="36"/>
      <c r="Q132" s="36"/>
      <c r="R132" s="36"/>
      <c r="S132" s="36"/>
      <c r="T132" s="36"/>
      <c r="U132" s="36"/>
      <c r="V132" s="36"/>
      <c r="W132" s="36"/>
      <c r="X132" s="36"/>
      <c r="Y132" s="36"/>
      <c r="Z132" s="36"/>
      <c r="AA132" s="36"/>
    </row>
    <row r="133" spans="1:27" ht="15.6">
      <c r="A133" s="72"/>
      <c r="E133" s="36"/>
      <c r="F133" s="37"/>
      <c r="G133" s="45"/>
      <c r="H133" s="45"/>
      <c r="I133" s="45"/>
      <c r="J133" s="45"/>
      <c r="K133" s="36"/>
      <c r="L133" s="36"/>
      <c r="M133" s="36"/>
      <c r="N133" s="36"/>
      <c r="O133" s="36"/>
      <c r="P133" s="36"/>
      <c r="Q133" s="36"/>
      <c r="R133" s="36"/>
      <c r="S133" s="36"/>
      <c r="T133" s="36"/>
      <c r="U133" s="36"/>
      <c r="V133" s="36"/>
      <c r="W133" s="36"/>
      <c r="X133" s="36"/>
      <c r="Y133" s="36"/>
      <c r="Z133" s="36"/>
      <c r="AA133" s="36"/>
    </row>
    <row r="134" spans="1:27" ht="15.6">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row>
    <row r="135" spans="1:27" ht="15.6">
      <c r="A135" s="67"/>
      <c r="B135" s="60" t="s">
        <v>196</v>
      </c>
      <c r="C135" s="67"/>
      <c r="D135" s="60" t="s">
        <v>197</v>
      </c>
      <c r="E135" s="67"/>
      <c r="F135" s="67"/>
      <c r="G135" s="67"/>
      <c r="H135" s="67"/>
      <c r="I135" s="67"/>
      <c r="J135" s="67"/>
      <c r="K135" s="67"/>
      <c r="L135" s="67"/>
      <c r="M135" s="67"/>
      <c r="N135" s="36"/>
      <c r="O135" s="36"/>
      <c r="P135" s="36"/>
      <c r="Q135" s="36"/>
      <c r="R135" s="36"/>
      <c r="S135" s="36"/>
      <c r="T135" s="36"/>
      <c r="U135" s="82"/>
      <c r="V135" s="36"/>
      <c r="W135" s="36"/>
      <c r="X135" s="36"/>
      <c r="Y135" s="36"/>
      <c r="Z135" s="36"/>
      <c r="AA135" s="36"/>
    </row>
    <row r="136" spans="1:27" ht="15.6">
      <c r="A136" s="67"/>
      <c r="B136" s="67"/>
      <c r="C136" s="67"/>
      <c r="D136" s="60" t="s">
        <v>198</v>
      </c>
      <c r="E136" s="67"/>
      <c r="F136" s="67"/>
      <c r="G136" s="67"/>
      <c r="H136" s="67"/>
      <c r="I136" s="67"/>
      <c r="J136" s="67"/>
      <c r="K136" s="67"/>
      <c r="L136" s="67"/>
      <c r="M136" s="67"/>
      <c r="N136" s="36"/>
      <c r="O136" s="36"/>
      <c r="P136" s="36"/>
      <c r="Q136" s="36"/>
      <c r="R136" s="36"/>
      <c r="S136" s="36"/>
      <c r="T136" s="36"/>
      <c r="U136" s="81"/>
      <c r="W136" s="36"/>
      <c r="X136" s="36"/>
      <c r="Y136" s="36"/>
      <c r="Z136" s="36"/>
      <c r="AA136" s="36"/>
    </row>
    <row r="137" spans="1:27" ht="15.6">
      <c r="A137" s="173"/>
      <c r="B137" s="173"/>
      <c r="C137" s="173"/>
      <c r="D137" s="174"/>
      <c r="E137" s="173"/>
      <c r="F137" s="173"/>
      <c r="G137" s="173"/>
      <c r="H137" s="173"/>
      <c r="I137" s="173"/>
      <c r="J137" s="173"/>
      <c r="K137" s="173"/>
      <c r="L137" s="173"/>
      <c r="M137" s="173"/>
      <c r="N137" s="36"/>
      <c r="O137" s="36"/>
      <c r="P137" s="36"/>
      <c r="Q137" s="36"/>
      <c r="R137" s="36"/>
      <c r="S137" s="36"/>
      <c r="T137" s="36"/>
      <c r="U137" s="81"/>
      <c r="W137" s="36"/>
      <c r="X137" s="36"/>
      <c r="Y137" s="36"/>
      <c r="Z137" s="36"/>
      <c r="AA137" s="36"/>
    </row>
    <row r="138" spans="1:27" ht="15.6">
      <c r="A138" s="175"/>
      <c r="B138" s="176" t="s">
        <v>370</v>
      </c>
      <c r="C138" s="175"/>
      <c r="D138" s="175" t="s">
        <v>206</v>
      </c>
      <c r="E138" s="175"/>
      <c r="F138" s="175"/>
      <c r="G138" s="175"/>
      <c r="H138" s="175"/>
      <c r="I138" s="175"/>
      <c r="J138" s="175"/>
      <c r="K138" s="175"/>
      <c r="L138" s="175"/>
      <c r="M138" s="175"/>
      <c r="N138" s="36"/>
      <c r="O138" s="36"/>
      <c r="P138" s="36"/>
      <c r="Q138" s="36"/>
      <c r="R138" s="36"/>
      <c r="S138" s="36"/>
      <c r="T138" s="36"/>
      <c r="U138" s="81"/>
      <c r="W138" s="36"/>
      <c r="X138" s="36"/>
      <c r="Y138" s="36"/>
      <c r="Z138" s="36"/>
      <c r="AA138" s="36"/>
    </row>
    <row r="139" spans="1:27" ht="15.6">
      <c r="A139" s="173"/>
      <c r="B139" s="173"/>
      <c r="C139" s="173"/>
      <c r="D139" s="173"/>
      <c r="E139" s="173"/>
      <c r="F139" s="173"/>
      <c r="G139" s="173"/>
      <c r="H139" s="173"/>
      <c r="I139" s="173"/>
      <c r="J139" s="173"/>
      <c r="K139" s="173"/>
      <c r="L139" s="173"/>
      <c r="M139" s="173"/>
      <c r="N139" s="36"/>
      <c r="O139" s="36"/>
      <c r="P139" s="36"/>
      <c r="Q139" s="36"/>
      <c r="R139" s="36"/>
      <c r="S139" s="36"/>
      <c r="T139" s="36"/>
      <c r="U139" s="81"/>
      <c r="W139" s="36"/>
      <c r="X139" s="36"/>
      <c r="Y139" s="36"/>
      <c r="Z139" s="36"/>
      <c r="AA139" s="36"/>
    </row>
    <row r="140" spans="1:27" ht="15.6">
      <c r="A140" s="52"/>
      <c r="B140" s="88" t="s">
        <v>372</v>
      </c>
      <c r="C140" s="52"/>
      <c r="D140" s="52" t="s">
        <v>380</v>
      </c>
      <c r="E140" s="52"/>
      <c r="F140" s="52"/>
      <c r="G140" s="52"/>
      <c r="H140" s="52"/>
      <c r="I140" s="52"/>
      <c r="J140" s="52"/>
      <c r="K140" s="52"/>
      <c r="L140" s="52"/>
      <c r="M140" s="52"/>
      <c r="N140" s="36"/>
      <c r="O140" s="36"/>
      <c r="P140" s="36"/>
      <c r="Q140" s="36"/>
      <c r="R140" s="36"/>
      <c r="S140" s="36"/>
      <c r="T140" s="36"/>
      <c r="U140" s="81"/>
      <c r="W140" s="36"/>
      <c r="X140" s="36"/>
      <c r="Y140" s="36"/>
      <c r="Z140" s="36"/>
      <c r="AA140" s="36"/>
    </row>
    <row r="141" spans="1:27" ht="15.6">
      <c r="A141" s="52"/>
      <c r="B141" s="52"/>
      <c r="C141" s="52"/>
      <c r="D141" s="88"/>
      <c r="E141" s="52"/>
      <c r="F141" s="52"/>
      <c r="G141" s="52"/>
      <c r="H141" s="52"/>
      <c r="I141" s="52"/>
      <c r="J141" s="52"/>
      <c r="K141" s="52"/>
      <c r="L141" s="52"/>
      <c r="M141" s="52"/>
      <c r="N141" s="36"/>
      <c r="O141" s="36"/>
      <c r="P141" s="36"/>
      <c r="Q141" s="36"/>
      <c r="R141" s="36"/>
      <c r="S141" s="36"/>
      <c r="T141" s="36"/>
      <c r="U141" s="81"/>
      <c r="W141" s="36"/>
      <c r="X141" s="36"/>
      <c r="Y141" s="36"/>
      <c r="Z141" s="36"/>
      <c r="AA141" s="36"/>
    </row>
    <row r="142" spans="1:27" ht="15.6">
      <c r="A142" s="52"/>
      <c r="B142" s="91" t="s">
        <v>77</v>
      </c>
      <c r="C142" s="89"/>
      <c r="D142" s="92" t="s">
        <v>207</v>
      </c>
      <c r="E142" s="52"/>
      <c r="F142" s="52"/>
      <c r="G142" s="93" t="s">
        <v>211</v>
      </c>
      <c r="H142" s="52"/>
      <c r="I142" s="52"/>
      <c r="J142" s="52"/>
      <c r="K142" s="52"/>
      <c r="L142" s="52"/>
      <c r="M142" s="52"/>
      <c r="N142" s="36"/>
      <c r="O142" s="36"/>
      <c r="P142" s="36"/>
      <c r="Q142" s="36"/>
      <c r="R142" s="36"/>
      <c r="S142" s="36"/>
      <c r="T142" s="36"/>
      <c r="U142" s="81"/>
      <c r="W142" s="36"/>
      <c r="X142" s="36"/>
      <c r="Y142" s="36"/>
      <c r="Z142" s="36"/>
      <c r="AA142" s="36"/>
    </row>
    <row r="143" spans="1:27" ht="15.6">
      <c r="A143" s="52"/>
      <c r="B143" s="94">
        <v>417678</v>
      </c>
      <c r="C143" s="52"/>
      <c r="D143" s="52" t="s">
        <v>208</v>
      </c>
      <c r="E143" s="52"/>
      <c r="F143" s="52"/>
      <c r="G143" s="52" t="s">
        <v>214</v>
      </c>
      <c r="H143" s="52"/>
      <c r="I143" s="52"/>
      <c r="J143" s="52"/>
      <c r="K143" s="52"/>
      <c r="L143" s="52"/>
      <c r="M143" s="52"/>
      <c r="N143" s="36"/>
      <c r="O143" s="36"/>
      <c r="P143" s="36"/>
      <c r="Q143" s="36"/>
      <c r="R143" s="36"/>
      <c r="S143" s="36"/>
      <c r="T143" s="36"/>
      <c r="U143" s="81"/>
      <c r="W143" s="36"/>
      <c r="X143" s="36"/>
      <c r="Y143" s="36"/>
      <c r="Z143" s="36"/>
      <c r="AA143" s="36"/>
    </row>
    <row r="144" spans="1:27" ht="15.6">
      <c r="A144" s="52"/>
      <c r="B144" s="94">
        <v>21860860</v>
      </c>
      <c r="C144" s="52"/>
      <c r="D144" s="52" t="s">
        <v>209</v>
      </c>
      <c r="E144" s="52"/>
      <c r="F144" s="52"/>
      <c r="G144" s="52" t="s">
        <v>212</v>
      </c>
      <c r="H144" s="52"/>
      <c r="I144" s="52"/>
      <c r="J144" s="88"/>
      <c r="K144" s="88"/>
      <c r="L144" s="88"/>
      <c r="M144" s="88"/>
      <c r="N144" s="174"/>
      <c r="O144" s="36"/>
      <c r="P144" s="36"/>
      <c r="Q144" s="36"/>
      <c r="R144" s="36"/>
      <c r="S144" s="36"/>
      <c r="T144" s="36"/>
      <c r="U144" s="81"/>
      <c r="W144" s="36"/>
      <c r="X144" s="36"/>
      <c r="Y144" s="36"/>
      <c r="Z144" s="36"/>
      <c r="AA144" s="36"/>
    </row>
    <row r="145" spans="1:27" ht="15.6">
      <c r="A145" s="52"/>
      <c r="B145" s="94">
        <v>10126321</v>
      </c>
      <c r="C145" s="89"/>
      <c r="D145" s="52" t="s">
        <v>210</v>
      </c>
      <c r="E145" s="52"/>
      <c r="F145" s="52"/>
      <c r="G145" s="52" t="s">
        <v>213</v>
      </c>
      <c r="H145" s="52"/>
      <c r="I145" s="52"/>
      <c r="J145" s="52"/>
      <c r="K145" s="52"/>
      <c r="L145" s="52"/>
      <c r="M145" s="52"/>
      <c r="N145" s="36"/>
      <c r="O145" s="36"/>
      <c r="P145" s="36"/>
      <c r="Q145" s="36"/>
      <c r="R145" s="36"/>
      <c r="S145" s="36"/>
      <c r="T145" s="36"/>
      <c r="U145" s="81"/>
      <c r="W145" s="36"/>
      <c r="X145" s="36"/>
      <c r="Y145" s="36"/>
      <c r="Z145" s="36"/>
      <c r="AA145" s="36"/>
    </row>
    <row r="146" spans="1:27" ht="15.6">
      <c r="A146" s="173"/>
      <c r="B146" s="173"/>
      <c r="C146" s="173"/>
      <c r="D146" s="174"/>
      <c r="E146" s="173"/>
      <c r="F146" s="173"/>
      <c r="G146" s="173"/>
      <c r="H146" s="173"/>
      <c r="I146" s="173"/>
      <c r="J146" s="173"/>
      <c r="K146" s="173"/>
      <c r="L146" s="173"/>
      <c r="M146" s="173"/>
      <c r="N146" s="36"/>
      <c r="O146" s="36"/>
      <c r="P146" s="36"/>
      <c r="Q146" s="36"/>
      <c r="R146" s="36"/>
      <c r="S146" s="36"/>
      <c r="T146" s="36"/>
      <c r="U146" s="81"/>
      <c r="W146" s="36"/>
      <c r="X146" s="36"/>
      <c r="Y146" s="36"/>
      <c r="Z146" s="36"/>
      <c r="AA146" s="36"/>
    </row>
    <row r="147" spans="1:27" ht="15.6">
      <c r="A147" s="36"/>
      <c r="B147" s="36"/>
      <c r="C147" s="36"/>
      <c r="D147" s="36"/>
      <c r="E147" s="36"/>
      <c r="F147" s="36"/>
      <c r="G147" s="36"/>
      <c r="H147" s="36"/>
      <c r="I147" s="36"/>
      <c r="J147" s="36"/>
      <c r="K147" s="36"/>
      <c r="L147" s="36"/>
      <c r="M147" s="36"/>
      <c r="N147" s="36"/>
      <c r="O147" s="36"/>
      <c r="P147" s="36"/>
      <c r="Q147" s="36"/>
      <c r="R147" s="36"/>
      <c r="S147" s="36"/>
      <c r="T147" s="36"/>
      <c r="U147" s="83"/>
      <c r="V147" s="36"/>
      <c r="W147" s="36"/>
      <c r="X147" s="36"/>
      <c r="Y147" s="36"/>
      <c r="Z147" s="36"/>
      <c r="AA147" s="36"/>
    </row>
    <row r="148" spans="1:27" ht="15.6">
      <c r="A148" s="36"/>
      <c r="B148" s="36"/>
      <c r="C148" s="36"/>
      <c r="D148" s="36"/>
      <c r="E148" s="36"/>
      <c r="F148" s="45" t="s">
        <v>200</v>
      </c>
      <c r="G148" s="36"/>
      <c r="H148" s="36"/>
      <c r="I148" s="36"/>
      <c r="J148" s="36"/>
      <c r="K148" s="36"/>
      <c r="L148" s="36"/>
      <c r="M148" s="36"/>
      <c r="N148" s="36"/>
      <c r="O148" s="36"/>
      <c r="P148" s="36"/>
      <c r="Q148" s="36"/>
      <c r="R148" s="36"/>
      <c r="S148" s="36"/>
      <c r="T148" s="36"/>
      <c r="U148" s="36"/>
      <c r="V148" s="36"/>
      <c r="W148" s="36"/>
      <c r="X148" s="36"/>
      <c r="Y148" s="36"/>
      <c r="Z148" s="36"/>
      <c r="AA148" s="36"/>
    </row>
    <row r="149" spans="1:27" ht="15.6">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row>
    <row r="150" spans="1:27" ht="15.6">
      <c r="A150" s="36"/>
      <c r="B150" s="36"/>
      <c r="C150" s="36"/>
      <c r="D150" s="36"/>
      <c r="E150" s="36"/>
      <c r="F150" s="36"/>
      <c r="G150" s="36"/>
      <c r="H150" s="36"/>
      <c r="I150" s="36"/>
      <c r="J150" s="36"/>
      <c r="K150" s="36"/>
      <c r="L150" s="36"/>
      <c r="M150" s="36"/>
      <c r="N150" s="36"/>
      <c r="O150" s="36"/>
      <c r="P150" s="36"/>
      <c r="Q150" s="36"/>
      <c r="R150" s="36"/>
      <c r="S150" s="36"/>
      <c r="T150" s="36"/>
      <c r="V150" s="36"/>
      <c r="W150" s="36"/>
      <c r="X150" s="36"/>
      <c r="Y150" s="36"/>
      <c r="Z150" s="36"/>
      <c r="AA150" s="36"/>
    </row>
    <row r="151" spans="1:27" ht="15.6">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row>
    <row r="152" spans="1:27" ht="15.6">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row>
    <row r="153" spans="1:27" ht="15.6">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row>
    <row r="154" spans="1:27" ht="15.6">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row>
    <row r="155" spans="1:27" ht="15.6">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row>
    <row r="156" spans="1:27" ht="91.2">
      <c r="A156" s="36"/>
      <c r="B156" s="76" t="s">
        <v>199</v>
      </c>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row>
    <row r="157" spans="1:27" ht="15.6">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row>
    <row r="158" spans="1:27" ht="15.6">
      <c r="A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row>
    <row r="159" spans="1:27" ht="15.6">
      <c r="A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row>
    <row r="160" spans="1:27" ht="15.6">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row>
    <row r="161" spans="1:27" ht="15.6">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row>
    <row r="162" spans="1:27" ht="15.6">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row>
    <row r="163" spans="1:27" ht="15.6">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row>
    <row r="164" spans="1:27" ht="15.6">
      <c r="A164" s="36"/>
      <c r="B164" s="36"/>
      <c r="C164" s="36"/>
      <c r="D164" s="36"/>
      <c r="E164" s="36"/>
      <c r="F164" s="36"/>
      <c r="H164" s="36"/>
      <c r="I164" s="36"/>
      <c r="J164" s="36"/>
      <c r="K164" s="36"/>
      <c r="L164" s="36"/>
      <c r="M164" s="36"/>
      <c r="N164" s="36"/>
      <c r="O164" s="36"/>
      <c r="P164" s="36"/>
      <c r="Q164" s="36"/>
      <c r="R164" s="36"/>
      <c r="S164" s="36"/>
      <c r="T164" s="36"/>
      <c r="U164" s="36"/>
      <c r="V164" s="36"/>
      <c r="X164" s="36"/>
      <c r="Y164" s="36"/>
      <c r="Z164" s="36"/>
      <c r="AA164" s="36"/>
    </row>
    <row r="165" spans="1:27" ht="15.6">
      <c r="A165" s="36"/>
      <c r="B165" s="36"/>
      <c r="C165" s="36"/>
      <c r="D165" s="36"/>
      <c r="E165" s="36"/>
      <c r="F165" s="36"/>
      <c r="G165" s="78" t="s">
        <v>201</v>
      </c>
      <c r="H165" s="36"/>
      <c r="I165" s="36"/>
      <c r="J165" s="36"/>
      <c r="K165" s="36"/>
      <c r="L165" s="36"/>
      <c r="M165" s="36"/>
      <c r="N165" s="36"/>
      <c r="O165" s="36"/>
      <c r="P165" s="36"/>
      <c r="Q165" s="36"/>
      <c r="R165" s="36"/>
      <c r="S165" s="36"/>
      <c r="T165" s="36"/>
      <c r="U165" s="36"/>
      <c r="V165" s="36"/>
      <c r="W165" s="36"/>
      <c r="X165" s="36"/>
      <c r="Y165" s="36"/>
      <c r="Z165" s="36"/>
      <c r="AA165" s="36"/>
    </row>
    <row r="166" spans="1:27" ht="15.6">
      <c r="A166" s="36"/>
      <c r="F166" s="36"/>
      <c r="G166" s="36"/>
      <c r="H166" s="36"/>
      <c r="I166" s="36"/>
      <c r="J166" s="36"/>
      <c r="K166" s="36"/>
      <c r="L166" s="36"/>
      <c r="M166" s="36"/>
      <c r="N166" s="36"/>
      <c r="O166" s="36"/>
      <c r="P166" s="36"/>
      <c r="Q166" s="36"/>
      <c r="R166" s="36"/>
      <c r="S166" s="36"/>
      <c r="T166" s="36"/>
      <c r="U166" s="36"/>
      <c r="V166" s="36"/>
      <c r="W166" s="36"/>
      <c r="X166" s="36"/>
      <c r="Y166" s="36"/>
      <c r="Z166" s="36"/>
      <c r="AA166" s="36"/>
    </row>
    <row r="167" spans="1:27" ht="15.6">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row>
    <row r="168" spans="1:27" ht="15.6">
      <c r="A168" s="67"/>
      <c r="B168" s="60" t="s">
        <v>23</v>
      </c>
      <c r="C168" s="67"/>
      <c r="D168" s="60" t="s">
        <v>215</v>
      </c>
      <c r="E168" s="67"/>
      <c r="F168" s="67"/>
      <c r="G168" s="67"/>
      <c r="H168" s="67"/>
      <c r="I168" s="67"/>
      <c r="J168" s="67"/>
      <c r="K168" s="67"/>
      <c r="L168" s="67"/>
      <c r="M168" s="67"/>
      <c r="N168" s="36"/>
      <c r="O168" s="36"/>
      <c r="P168" s="36"/>
      <c r="Q168" s="36"/>
      <c r="R168" s="36"/>
      <c r="S168" s="36"/>
      <c r="T168" s="36"/>
      <c r="U168" s="36"/>
      <c r="V168" s="36"/>
      <c r="W168" s="36"/>
      <c r="X168" s="36"/>
      <c r="Y168" s="36"/>
      <c r="Z168" s="36"/>
      <c r="AA168" s="36"/>
    </row>
    <row r="169" spans="1:27" ht="15.6">
      <c r="A169" s="67"/>
      <c r="B169" s="67"/>
      <c r="C169" s="67"/>
      <c r="D169" s="60" t="s">
        <v>216</v>
      </c>
      <c r="E169" s="67"/>
      <c r="F169" s="67"/>
      <c r="G169" s="67"/>
      <c r="H169" s="67"/>
      <c r="I169" s="67"/>
      <c r="J169" s="67"/>
      <c r="K169" s="67"/>
      <c r="L169" s="67"/>
      <c r="M169" s="67"/>
      <c r="N169" s="36"/>
      <c r="O169" s="36"/>
      <c r="P169" s="36"/>
      <c r="Q169" s="36"/>
      <c r="R169" s="36"/>
      <c r="S169" s="36"/>
      <c r="T169" s="36"/>
      <c r="U169" s="36"/>
      <c r="V169" s="36"/>
      <c r="W169" s="36"/>
      <c r="X169" s="36"/>
      <c r="Y169" s="36"/>
      <c r="Z169" s="36"/>
      <c r="AA169" s="36"/>
    </row>
    <row r="170" spans="1:27" ht="15.6">
      <c r="A170" s="67"/>
      <c r="B170" s="67"/>
      <c r="C170" s="67"/>
      <c r="D170" s="60" t="s">
        <v>217</v>
      </c>
      <c r="E170" s="67"/>
      <c r="F170" s="67"/>
      <c r="G170" s="67"/>
      <c r="H170" s="67"/>
      <c r="I170" s="67"/>
      <c r="J170" s="67"/>
      <c r="K170" s="67"/>
      <c r="L170" s="67"/>
      <c r="M170" s="67"/>
      <c r="N170" s="36"/>
      <c r="O170" s="36"/>
      <c r="P170" s="36"/>
      <c r="Q170" s="36"/>
      <c r="R170" s="36"/>
      <c r="S170" s="36"/>
      <c r="T170" s="36"/>
      <c r="U170" s="36"/>
      <c r="V170" s="36"/>
      <c r="W170" s="36"/>
      <c r="X170" s="36"/>
      <c r="Y170" s="36"/>
      <c r="Z170" s="36"/>
      <c r="AA170" s="36"/>
    </row>
    <row r="171" spans="1:27" ht="15.6">
      <c r="A171" s="173"/>
      <c r="B171" s="173"/>
      <c r="C171" s="173"/>
      <c r="D171" s="174"/>
      <c r="E171" s="173"/>
      <c r="F171" s="173"/>
      <c r="G171" s="173"/>
      <c r="H171" s="173"/>
      <c r="I171" s="173"/>
      <c r="J171" s="173"/>
      <c r="K171" s="173"/>
      <c r="L171" s="173"/>
      <c r="M171" s="173"/>
      <c r="N171" s="36"/>
      <c r="O171" s="36"/>
      <c r="P171" s="36"/>
      <c r="Q171" s="36"/>
      <c r="R171" s="36"/>
      <c r="S171" s="36"/>
      <c r="T171" s="36"/>
      <c r="U171" s="36"/>
      <c r="V171" s="36"/>
      <c r="W171" s="36"/>
      <c r="X171" s="36"/>
      <c r="Y171" s="36"/>
      <c r="Z171" s="36"/>
      <c r="AA171" s="36"/>
    </row>
    <row r="172" spans="1:27" ht="15.6">
      <c r="A172" s="175"/>
      <c r="B172" s="176" t="s">
        <v>370</v>
      </c>
      <c r="C172" s="175"/>
      <c r="D172" s="175" t="s">
        <v>381</v>
      </c>
      <c r="E172" s="175"/>
      <c r="F172" s="175"/>
      <c r="G172" s="175"/>
      <c r="H172" s="175"/>
      <c r="I172" s="175"/>
      <c r="J172" s="175"/>
      <c r="K172" s="175"/>
      <c r="L172" s="175"/>
      <c r="M172" s="175"/>
      <c r="N172" s="36"/>
      <c r="O172" s="36"/>
      <c r="P172" s="36"/>
      <c r="Q172" s="36"/>
      <c r="R172" s="36"/>
      <c r="S172" s="36"/>
      <c r="T172" s="36"/>
      <c r="U172" s="36"/>
      <c r="V172" s="36"/>
      <c r="W172" s="36"/>
      <c r="X172" s="36"/>
      <c r="Y172" s="36"/>
      <c r="Z172" s="36"/>
      <c r="AA172" s="36"/>
    </row>
    <row r="173" spans="1:27" ht="15.6">
      <c r="A173" s="175"/>
      <c r="B173" s="175"/>
      <c r="C173" s="175"/>
      <c r="D173" s="175" t="s">
        <v>382</v>
      </c>
      <c r="E173" s="175"/>
      <c r="F173" s="175"/>
      <c r="G173" s="175"/>
      <c r="H173" s="175"/>
      <c r="I173" s="175"/>
      <c r="J173" s="175"/>
      <c r="K173" s="175"/>
      <c r="L173" s="175"/>
      <c r="M173" s="175"/>
      <c r="N173" s="36"/>
      <c r="O173" s="36"/>
      <c r="P173" s="36"/>
      <c r="Q173" s="36"/>
      <c r="R173" s="36"/>
      <c r="S173" s="36"/>
      <c r="T173" s="36"/>
      <c r="U173" s="36"/>
      <c r="V173" s="36"/>
      <c r="W173" s="36"/>
      <c r="X173" s="36"/>
      <c r="Y173" s="36"/>
      <c r="Z173" s="36"/>
      <c r="AA173" s="36"/>
    </row>
    <row r="174" spans="1:27" ht="15.6">
      <c r="A174" s="175"/>
      <c r="B174" s="175"/>
      <c r="C174" s="175"/>
      <c r="D174" s="175" t="s">
        <v>383</v>
      </c>
      <c r="E174" s="175"/>
      <c r="F174" s="175"/>
      <c r="G174" s="175"/>
      <c r="H174" s="175"/>
      <c r="I174" s="175"/>
      <c r="J174" s="175"/>
      <c r="K174" s="175"/>
      <c r="L174" s="175"/>
      <c r="M174" s="175"/>
      <c r="N174" s="36"/>
      <c r="O174" s="36"/>
      <c r="P174" s="36"/>
      <c r="Q174" s="36"/>
      <c r="R174" s="36"/>
      <c r="S174" s="36"/>
      <c r="T174" s="36"/>
      <c r="U174" s="36"/>
      <c r="V174" s="36"/>
      <c r="W174" s="36"/>
      <c r="X174" s="36"/>
      <c r="Y174" s="36"/>
      <c r="Z174" s="36"/>
      <c r="AA174" s="36"/>
    </row>
    <row r="176" spans="1:27" ht="15.6" customHeight="1">
      <c r="C176" s="71" t="s">
        <v>218</v>
      </c>
      <c r="F176" s="36"/>
      <c r="G176" s="36"/>
      <c r="H176" s="36"/>
      <c r="I176" s="36"/>
      <c r="J176" s="36"/>
      <c r="K176" s="36"/>
      <c r="L176" s="36"/>
      <c r="M176" s="36"/>
      <c r="N176" s="36"/>
      <c r="O176" s="36"/>
      <c r="P176" s="36"/>
      <c r="Q176" s="36"/>
      <c r="R176" s="36"/>
      <c r="S176" s="36"/>
      <c r="T176" s="36"/>
      <c r="U176" s="36"/>
      <c r="V176" s="36"/>
      <c r="W176" s="36"/>
      <c r="X176" s="36"/>
      <c r="Y176" s="36"/>
      <c r="Z176" s="36"/>
      <c r="AA176" s="36"/>
    </row>
    <row r="177" spans="1:27" ht="15.6" customHeight="1">
      <c r="A177" s="43" t="s">
        <v>161</v>
      </c>
      <c r="B177" s="90" t="s">
        <v>77</v>
      </c>
      <c r="C177" s="71" t="s">
        <v>88</v>
      </c>
      <c r="D177" s="44" t="s">
        <v>240</v>
      </c>
      <c r="F177" s="36"/>
      <c r="G177" s="177" t="s">
        <v>185</v>
      </c>
      <c r="H177" s="177"/>
      <c r="I177" s="177"/>
      <c r="J177" s="177"/>
      <c r="K177" s="175"/>
      <c r="L177" s="175"/>
      <c r="M177" s="175"/>
      <c r="N177" s="36"/>
      <c r="O177" s="36"/>
      <c r="P177" s="36"/>
      <c r="Q177" s="36"/>
      <c r="R177" s="36"/>
      <c r="S177" s="36"/>
      <c r="T177" s="36"/>
      <c r="U177" s="36"/>
      <c r="V177" s="36"/>
      <c r="W177" s="36"/>
      <c r="X177" s="36"/>
      <c r="Y177" s="36"/>
      <c r="Z177" s="36"/>
      <c r="AA177" s="36"/>
    </row>
    <row r="178" spans="1:27" ht="15.6">
      <c r="A178" s="106">
        <v>1</v>
      </c>
      <c r="B178" s="104">
        <v>9479291</v>
      </c>
      <c r="C178" s="103">
        <v>4</v>
      </c>
      <c r="D178" s="86" t="s">
        <v>142</v>
      </c>
      <c r="E178" s="86"/>
      <c r="F178" s="46"/>
      <c r="G178" s="47" t="s">
        <v>241</v>
      </c>
      <c r="H178" s="121"/>
      <c r="I178" s="121"/>
      <c r="J178" s="121"/>
      <c r="K178" s="121"/>
      <c r="L178" s="47"/>
      <c r="M178" s="47"/>
      <c r="N178" s="36"/>
      <c r="O178" s="36"/>
      <c r="P178" s="36"/>
      <c r="Q178" s="36"/>
      <c r="R178" s="36"/>
      <c r="S178" s="36"/>
      <c r="T178" s="36"/>
      <c r="U178" s="36"/>
      <c r="V178" s="36"/>
      <c r="W178" s="36"/>
      <c r="X178" s="36"/>
      <c r="Y178" s="36"/>
      <c r="Z178" s="36"/>
      <c r="AA178" s="36"/>
    </row>
    <row r="179" spans="1:27" ht="15.6">
      <c r="A179" s="106">
        <v>2</v>
      </c>
      <c r="B179" s="104">
        <v>5393620</v>
      </c>
      <c r="C179" s="103">
        <v>16</v>
      </c>
      <c r="D179" s="86" t="s">
        <v>154</v>
      </c>
      <c r="E179" s="86"/>
      <c r="F179" s="46"/>
      <c r="G179" s="47" t="s">
        <v>242</v>
      </c>
      <c r="H179" s="121"/>
      <c r="I179" s="121"/>
      <c r="J179" s="121"/>
      <c r="K179" s="121"/>
      <c r="L179" s="47"/>
      <c r="M179" s="47"/>
      <c r="N179" s="36"/>
      <c r="O179" s="36"/>
      <c r="P179" s="36"/>
      <c r="Q179" s="36"/>
      <c r="R179" s="36"/>
      <c r="S179" s="36"/>
      <c r="T179" s="36"/>
      <c r="U179" s="36"/>
      <c r="V179" s="36"/>
      <c r="W179" s="36"/>
      <c r="X179" s="36"/>
      <c r="Y179" s="36"/>
      <c r="Z179" s="36"/>
      <c r="AA179" s="36"/>
    </row>
    <row r="180" spans="1:27" ht="15.6">
      <c r="A180" s="77">
        <v>3</v>
      </c>
      <c r="B180" s="105">
        <v>2887550</v>
      </c>
      <c r="C180" s="41">
        <v>19</v>
      </c>
      <c r="D180" t="s">
        <v>157</v>
      </c>
      <c r="F180" s="36"/>
      <c r="G180" s="36"/>
      <c r="L180" s="36"/>
      <c r="M180" s="36"/>
      <c r="N180" s="36"/>
      <c r="O180" s="36"/>
      <c r="P180" s="36"/>
      <c r="Q180" s="36"/>
      <c r="R180" s="36"/>
      <c r="S180" s="36"/>
      <c r="T180" s="36"/>
      <c r="U180" s="36"/>
      <c r="V180" s="36"/>
      <c r="W180" s="36"/>
      <c r="X180" s="36"/>
      <c r="Y180" s="36"/>
      <c r="Z180" s="36"/>
      <c r="AA180" s="36"/>
    </row>
    <row r="181" spans="1:27" ht="15.6">
      <c r="A181" s="77">
        <v>4</v>
      </c>
      <c r="B181" s="105">
        <v>2688123</v>
      </c>
      <c r="C181" s="41">
        <v>7</v>
      </c>
      <c r="D181" t="s">
        <v>145</v>
      </c>
      <c r="F181" s="36"/>
      <c r="G181" s="36"/>
      <c r="L181" s="36"/>
      <c r="M181" s="36"/>
      <c r="N181" s="36"/>
      <c r="O181" s="36"/>
      <c r="P181" s="36"/>
      <c r="Q181" s="36"/>
      <c r="R181" s="36"/>
      <c r="S181" s="36"/>
      <c r="T181" s="36"/>
      <c r="U181" s="36"/>
      <c r="V181" s="36"/>
      <c r="W181" s="36"/>
      <c r="X181" s="36"/>
      <c r="Y181" s="36"/>
      <c r="Z181" s="36"/>
      <c r="AA181" s="36"/>
    </row>
    <row r="182" spans="1:27" ht="15.6">
      <c r="A182" s="77">
        <v>5</v>
      </c>
      <c r="B182" s="105">
        <v>2234743</v>
      </c>
      <c r="C182" s="41">
        <v>1</v>
      </c>
      <c r="D182" t="s">
        <v>139</v>
      </c>
      <c r="F182" s="36"/>
      <c r="G182" s="36"/>
      <c r="L182" s="36"/>
      <c r="M182" s="36"/>
      <c r="N182" s="36"/>
      <c r="O182" s="36"/>
      <c r="P182" s="36"/>
      <c r="Q182" s="36"/>
      <c r="R182" s="36"/>
      <c r="S182" s="36"/>
      <c r="T182" s="36"/>
      <c r="U182" s="36"/>
      <c r="V182" s="36"/>
      <c r="W182" s="36"/>
      <c r="X182" s="36"/>
      <c r="Y182" s="36"/>
      <c r="Z182" s="36"/>
      <c r="AA182" s="36"/>
    </row>
    <row r="183" spans="1:27" ht="15.6">
      <c r="A183" s="77">
        <v>6</v>
      </c>
      <c r="B183" s="105">
        <v>1875369</v>
      </c>
      <c r="C183" s="41">
        <v>13</v>
      </c>
      <c r="D183" t="s">
        <v>151</v>
      </c>
      <c r="F183" s="36"/>
      <c r="G183" s="36"/>
      <c r="L183" s="36"/>
      <c r="M183" s="36"/>
      <c r="N183" s="36"/>
      <c r="O183" s="36"/>
      <c r="P183" s="36"/>
      <c r="Q183" s="36"/>
      <c r="R183" s="36"/>
      <c r="S183" s="36"/>
      <c r="T183" s="36"/>
      <c r="U183" s="36"/>
      <c r="V183" s="36"/>
      <c r="W183" s="36"/>
      <c r="X183" s="36"/>
      <c r="Y183" s="36"/>
      <c r="Z183" s="36"/>
      <c r="AA183" s="36"/>
    </row>
    <row r="184" spans="1:27" ht="16.8" customHeight="1">
      <c r="A184" s="77">
        <v>7</v>
      </c>
      <c r="B184" s="105">
        <v>1172428</v>
      </c>
      <c r="C184" s="41">
        <v>3</v>
      </c>
      <c r="D184" t="s">
        <v>141</v>
      </c>
      <c r="F184" s="36"/>
      <c r="G184" s="36"/>
      <c r="L184" s="36"/>
      <c r="M184" s="36"/>
      <c r="N184" s="36"/>
      <c r="O184" s="36"/>
      <c r="P184" s="36"/>
      <c r="Q184" s="36"/>
      <c r="R184" s="156"/>
      <c r="S184" s="156"/>
      <c r="T184" s="156"/>
      <c r="U184" s="156"/>
      <c r="V184" s="79"/>
      <c r="W184" s="36"/>
      <c r="X184" s="36"/>
      <c r="Y184" s="36"/>
      <c r="Z184" s="36"/>
      <c r="AA184" s="36"/>
    </row>
    <row r="185" spans="1:27" ht="16.8">
      <c r="A185" s="77">
        <v>8</v>
      </c>
      <c r="B185" s="105">
        <v>1068058</v>
      </c>
      <c r="C185" s="41">
        <v>15</v>
      </c>
      <c r="D185" t="s">
        <v>153</v>
      </c>
      <c r="F185" s="36"/>
      <c r="G185" s="36"/>
      <c r="L185" s="36"/>
      <c r="M185" s="36"/>
      <c r="N185" s="36"/>
      <c r="O185" s="36"/>
      <c r="P185" s="36"/>
      <c r="Q185" s="36"/>
      <c r="R185" s="68"/>
      <c r="S185" s="68"/>
      <c r="T185" s="68"/>
      <c r="U185" s="68"/>
      <c r="V185" s="68"/>
      <c r="W185" s="36"/>
      <c r="X185" s="36"/>
      <c r="Y185" s="36"/>
      <c r="Z185" s="36"/>
      <c r="AA185" s="36"/>
    </row>
    <row r="186" spans="1:27" ht="16.8">
      <c r="A186" s="77">
        <v>9</v>
      </c>
      <c r="B186" s="105">
        <v>1051249</v>
      </c>
      <c r="C186" s="41">
        <v>20</v>
      </c>
      <c r="D186" t="s">
        <v>158</v>
      </c>
      <c r="F186" s="36"/>
      <c r="G186" s="36"/>
      <c r="L186" s="36"/>
      <c r="M186" s="36"/>
      <c r="N186" s="36"/>
      <c r="O186" s="36"/>
      <c r="P186" s="36"/>
      <c r="Q186" s="156"/>
      <c r="R186" s="156"/>
      <c r="S186" s="68"/>
      <c r="T186" s="68"/>
      <c r="U186" s="68"/>
      <c r="V186" s="68"/>
      <c r="W186" s="36"/>
      <c r="X186" s="36"/>
      <c r="Y186" s="36"/>
      <c r="Z186" s="36"/>
      <c r="AA186" s="36"/>
    </row>
    <row r="187" spans="1:27" ht="16.8">
      <c r="A187" s="77">
        <v>10</v>
      </c>
      <c r="B187" s="105">
        <v>866627</v>
      </c>
      <c r="C187" s="41">
        <v>9</v>
      </c>
      <c r="D187" t="s">
        <v>147</v>
      </c>
      <c r="F187" s="36"/>
      <c r="G187" s="36"/>
      <c r="L187" s="36"/>
      <c r="M187" s="36"/>
      <c r="N187" s="36"/>
      <c r="O187" s="36"/>
      <c r="P187" s="36"/>
      <c r="Q187" s="156"/>
      <c r="R187" s="156"/>
      <c r="S187" s="69"/>
      <c r="T187" s="69"/>
      <c r="U187" s="69"/>
      <c r="V187" s="69"/>
      <c r="W187" s="36"/>
      <c r="X187" s="36"/>
      <c r="Y187" s="36"/>
      <c r="Z187" s="36"/>
      <c r="AA187" s="36"/>
    </row>
    <row r="188" spans="1:27" ht="16.8">
      <c r="A188" s="77">
        <v>11</v>
      </c>
      <c r="B188" s="105">
        <v>738666</v>
      </c>
      <c r="C188" s="41">
        <v>17</v>
      </c>
      <c r="D188" t="s">
        <v>155</v>
      </c>
      <c r="F188" s="36"/>
      <c r="G188" s="36"/>
      <c r="L188" s="36"/>
      <c r="M188" s="36"/>
      <c r="N188" s="36"/>
      <c r="O188" s="36"/>
      <c r="P188" s="36"/>
      <c r="Q188" s="156"/>
      <c r="R188" s="156"/>
      <c r="S188" s="69"/>
      <c r="T188" s="69"/>
      <c r="U188" s="69"/>
      <c r="V188" s="69"/>
      <c r="W188" s="36"/>
      <c r="X188" s="36"/>
      <c r="Y188" s="36"/>
      <c r="Z188" s="36"/>
      <c r="AA188" s="36"/>
    </row>
    <row r="189" spans="1:27" ht="16.8">
      <c r="A189" s="77">
        <v>12</v>
      </c>
      <c r="B189" s="105">
        <v>708927</v>
      </c>
      <c r="C189" s="41">
        <v>12</v>
      </c>
      <c r="D189" t="s">
        <v>150</v>
      </c>
      <c r="F189" s="36"/>
      <c r="G189" s="36"/>
      <c r="L189" s="36"/>
      <c r="M189" s="36"/>
      <c r="N189" s="36"/>
      <c r="O189" s="36"/>
      <c r="P189" s="36"/>
      <c r="Q189" s="156"/>
      <c r="R189" s="156"/>
      <c r="S189" s="69"/>
      <c r="T189" s="69"/>
      <c r="U189" s="69"/>
      <c r="V189" s="69"/>
      <c r="W189" s="36"/>
      <c r="X189" s="36"/>
      <c r="Y189" s="36"/>
      <c r="Z189" s="36"/>
      <c r="AA189" s="36"/>
    </row>
    <row r="190" spans="1:27" ht="15.6">
      <c r="A190" s="77">
        <v>13</v>
      </c>
      <c r="B190" s="105">
        <v>703033</v>
      </c>
      <c r="C190" s="41">
        <v>14</v>
      </c>
      <c r="D190" t="s">
        <v>152</v>
      </c>
      <c r="F190" s="36"/>
      <c r="G190" s="36"/>
      <c r="L190" s="36"/>
      <c r="M190" s="36"/>
      <c r="N190" s="36"/>
      <c r="O190" s="36"/>
      <c r="P190" s="36"/>
      <c r="Q190" s="36"/>
      <c r="R190" s="36"/>
      <c r="S190" s="36"/>
      <c r="T190" s="36"/>
      <c r="U190" s="36"/>
      <c r="V190" s="36"/>
      <c r="W190" s="36"/>
      <c r="X190" s="36"/>
      <c r="Y190" s="36"/>
      <c r="Z190" s="36"/>
      <c r="AA190" s="36"/>
    </row>
    <row r="191" spans="1:27" ht="15.6">
      <c r="A191" s="77">
        <v>14</v>
      </c>
      <c r="B191" s="105">
        <v>447572</v>
      </c>
      <c r="C191" s="41">
        <v>11</v>
      </c>
      <c r="D191" t="s">
        <v>149</v>
      </c>
      <c r="F191" s="36"/>
      <c r="G191" s="36"/>
      <c r="L191" s="36"/>
      <c r="M191" s="36"/>
      <c r="N191" s="36"/>
      <c r="O191" s="36"/>
      <c r="P191" s="36"/>
      <c r="Q191" s="36"/>
      <c r="R191" s="36"/>
      <c r="S191" s="36"/>
      <c r="T191" s="36"/>
      <c r="U191" s="36"/>
      <c r="V191" s="36"/>
      <c r="W191" s="36"/>
      <c r="X191" s="36"/>
      <c r="Y191" s="36"/>
      <c r="Z191" s="36"/>
      <c r="AA191" s="36"/>
    </row>
    <row r="192" spans="1:27" ht="15.6">
      <c r="A192" s="77">
        <v>15</v>
      </c>
      <c r="B192" s="105">
        <v>423802</v>
      </c>
      <c r="C192" s="41">
        <v>18</v>
      </c>
      <c r="D192" t="s">
        <v>156</v>
      </c>
      <c r="F192" s="36"/>
      <c r="G192" s="36"/>
      <c r="L192" s="36"/>
      <c r="M192" s="36"/>
      <c r="N192" s="36"/>
      <c r="O192" s="36"/>
      <c r="P192" s="36"/>
      <c r="Q192" s="36"/>
      <c r="R192" s="36"/>
      <c r="S192" s="36"/>
      <c r="T192" s="36"/>
      <c r="U192" s="36"/>
      <c r="V192" s="36"/>
      <c r="W192" s="36"/>
      <c r="X192" s="36"/>
      <c r="Y192" s="36"/>
      <c r="Z192" s="36"/>
      <c r="AA192" s="36"/>
    </row>
    <row r="193" spans="1:27" ht="15.6">
      <c r="A193" s="77">
        <v>16</v>
      </c>
      <c r="B193" s="105">
        <v>269253</v>
      </c>
      <c r="C193" s="41">
        <v>6</v>
      </c>
      <c r="D193" t="s">
        <v>144</v>
      </c>
      <c r="F193" s="36"/>
      <c r="G193" s="36"/>
      <c r="L193" s="36"/>
      <c r="M193" s="36"/>
      <c r="N193" s="36"/>
      <c r="O193" s="36"/>
      <c r="P193" s="36"/>
      <c r="Q193" s="36"/>
      <c r="R193" s="36"/>
      <c r="S193" s="36"/>
      <c r="T193" s="36"/>
      <c r="U193" s="36"/>
      <c r="V193" s="36"/>
      <c r="W193" s="36"/>
      <c r="X193" s="36"/>
      <c r="Y193" s="36"/>
      <c r="Z193" s="36"/>
      <c r="AA193" s="36"/>
    </row>
    <row r="194" spans="1:27" ht="16.8">
      <c r="A194" s="77">
        <v>17</v>
      </c>
      <c r="B194" s="105">
        <v>153696</v>
      </c>
      <c r="C194" s="41">
        <v>5</v>
      </c>
      <c r="D194" t="s">
        <v>143</v>
      </c>
      <c r="F194" s="36"/>
      <c r="G194" s="36"/>
      <c r="L194" s="36"/>
      <c r="M194" s="36"/>
      <c r="N194" s="36"/>
      <c r="O194" s="36"/>
      <c r="P194" s="36"/>
      <c r="Q194" s="36"/>
      <c r="R194" s="36"/>
      <c r="S194" s="36"/>
      <c r="T194" s="36"/>
      <c r="U194" s="36"/>
      <c r="V194" s="36"/>
      <c r="W194" s="36"/>
      <c r="X194" s="68"/>
      <c r="Y194" s="69"/>
      <c r="Z194" s="36"/>
      <c r="AA194" s="36"/>
    </row>
    <row r="195" spans="1:27" ht="16.8">
      <c r="A195" s="77">
        <v>18</v>
      </c>
      <c r="B195" s="105">
        <v>97716</v>
      </c>
      <c r="C195" s="41">
        <v>8</v>
      </c>
      <c r="D195" t="s">
        <v>146</v>
      </c>
      <c r="F195" s="36"/>
      <c r="G195" s="36"/>
      <c r="L195" s="36"/>
      <c r="M195" s="36"/>
      <c r="N195" s="36"/>
      <c r="O195" s="36"/>
      <c r="P195" s="36"/>
      <c r="Q195" s="36"/>
      <c r="S195" s="68"/>
      <c r="T195" s="36"/>
      <c r="U195" s="36"/>
      <c r="V195" s="36"/>
      <c r="W195" s="36"/>
      <c r="X195" s="68"/>
      <c r="Y195" s="69"/>
      <c r="Z195" s="36"/>
      <c r="AA195" s="36"/>
    </row>
    <row r="196" spans="1:27" ht="16.8">
      <c r="A196" s="77">
        <v>19</v>
      </c>
      <c r="B196" s="105">
        <v>69145</v>
      </c>
      <c r="C196" s="41">
        <v>21</v>
      </c>
      <c r="D196" t="s">
        <v>159</v>
      </c>
      <c r="F196" s="36"/>
      <c r="G196" s="36"/>
      <c r="L196" s="36"/>
      <c r="M196" s="36"/>
      <c r="N196" s="36"/>
      <c r="O196" s="36"/>
      <c r="P196" s="36"/>
      <c r="Q196" s="36"/>
      <c r="R196" s="68"/>
      <c r="S196" s="68"/>
      <c r="T196" s="36"/>
      <c r="U196" s="36"/>
      <c r="V196" s="36"/>
      <c r="W196" s="36"/>
      <c r="X196" s="68"/>
      <c r="Y196" s="69"/>
      <c r="Z196" s="36"/>
      <c r="AA196" s="36"/>
    </row>
    <row r="197" spans="1:27" ht="16.8">
      <c r="A197" s="77">
        <v>20</v>
      </c>
      <c r="B197" s="105">
        <v>36291</v>
      </c>
      <c r="C197" s="41">
        <v>2</v>
      </c>
      <c r="D197" t="s">
        <v>140</v>
      </c>
      <c r="F197" s="36"/>
      <c r="G197" s="36"/>
      <c r="L197" s="36"/>
      <c r="M197" s="36"/>
      <c r="N197" s="36"/>
      <c r="O197" s="36"/>
      <c r="P197" s="36"/>
      <c r="Q197" s="36"/>
      <c r="R197" s="68"/>
      <c r="S197" s="68"/>
      <c r="T197" s="36"/>
      <c r="X197" s="68"/>
      <c r="Y197" s="69"/>
      <c r="Z197" s="36"/>
      <c r="AA197" s="36"/>
    </row>
    <row r="198" spans="1:27" ht="16.8">
      <c r="A198" s="77">
        <v>21</v>
      </c>
      <c r="B198" s="105">
        <v>34573</v>
      </c>
      <c r="C198" s="41">
        <v>10</v>
      </c>
      <c r="D198" t="s">
        <v>148</v>
      </c>
      <c r="F198" s="36"/>
      <c r="G198" s="36"/>
      <c r="L198" s="36"/>
      <c r="M198" s="36"/>
      <c r="N198" s="36"/>
      <c r="O198" s="36"/>
      <c r="P198" s="36"/>
      <c r="Q198" s="36"/>
      <c r="R198" s="68"/>
      <c r="S198" s="69"/>
      <c r="T198" s="36"/>
      <c r="X198" s="68"/>
      <c r="Y198" s="69"/>
      <c r="Z198" s="36"/>
      <c r="AA198" s="36"/>
    </row>
    <row r="199" spans="1:27" ht="16.8">
      <c r="C199" s="36"/>
      <c r="D199" s="36"/>
      <c r="E199" s="36"/>
      <c r="F199" s="36"/>
      <c r="G199" s="36"/>
      <c r="L199" s="36"/>
      <c r="M199" s="36"/>
      <c r="N199" s="36"/>
      <c r="O199" s="36"/>
      <c r="P199" s="36"/>
      <c r="Q199" s="36"/>
      <c r="R199" s="68"/>
      <c r="S199" s="69"/>
      <c r="T199" s="36"/>
      <c r="X199" s="68"/>
      <c r="Y199" s="69"/>
      <c r="Z199" s="36"/>
      <c r="AA199" s="36"/>
    </row>
    <row r="200" spans="1:27" ht="16.8">
      <c r="B200" s="101"/>
      <c r="C200" s="71" t="s">
        <v>218</v>
      </c>
      <c r="D200" s="36"/>
      <c r="E200" s="36"/>
      <c r="F200" s="36"/>
      <c r="G200" s="36"/>
      <c r="H200" s="36"/>
      <c r="I200" s="36"/>
      <c r="J200" s="36"/>
      <c r="K200" s="36"/>
      <c r="L200" s="36"/>
      <c r="M200" s="36"/>
      <c r="N200" s="36"/>
      <c r="O200" s="36"/>
      <c r="P200" s="36"/>
      <c r="Q200" s="36"/>
      <c r="R200" s="68"/>
      <c r="S200" s="69"/>
      <c r="T200" s="36"/>
      <c r="X200" s="68"/>
      <c r="Y200" s="69"/>
      <c r="Z200" s="36"/>
      <c r="AA200" s="36"/>
    </row>
    <row r="201" spans="1:27" ht="16.8">
      <c r="A201" s="43" t="s">
        <v>161</v>
      </c>
      <c r="B201" s="90" t="s">
        <v>160</v>
      </c>
      <c r="C201" s="71" t="s">
        <v>88</v>
      </c>
      <c r="D201" s="44" t="s">
        <v>240</v>
      </c>
      <c r="E201" s="36"/>
      <c r="F201" s="36"/>
      <c r="G201" s="177" t="s">
        <v>245</v>
      </c>
      <c r="H201" s="177"/>
      <c r="I201" s="177"/>
      <c r="J201" s="177"/>
      <c r="K201" s="175"/>
      <c r="L201" s="175"/>
      <c r="M201" s="175"/>
      <c r="N201" s="36"/>
      <c r="O201" s="36"/>
      <c r="P201" s="36"/>
      <c r="Q201" s="36"/>
      <c r="R201" s="68"/>
      <c r="S201" s="69"/>
      <c r="T201" s="36"/>
      <c r="X201" s="68"/>
      <c r="Y201" s="69"/>
      <c r="Z201" s="36"/>
      <c r="AA201" s="36"/>
    </row>
    <row r="202" spans="1:27" ht="16.8">
      <c r="A202" s="106">
        <v>1</v>
      </c>
      <c r="B202" s="85">
        <v>75660934.5</v>
      </c>
      <c r="C202" s="87">
        <v>4</v>
      </c>
      <c r="D202" s="86" t="s">
        <v>222</v>
      </c>
      <c r="E202" s="46"/>
      <c r="F202" s="46"/>
      <c r="G202" s="47" t="s">
        <v>243</v>
      </c>
      <c r="H202" s="121"/>
      <c r="I202" s="121"/>
      <c r="J202" s="121"/>
      <c r="K202" s="121"/>
      <c r="L202" s="47"/>
      <c r="M202" s="47"/>
      <c r="N202" s="36"/>
      <c r="O202" s="36"/>
      <c r="P202" s="36"/>
      <c r="Q202" s="36"/>
      <c r="R202" s="68"/>
      <c r="S202" s="69"/>
      <c r="T202" s="36"/>
      <c r="U202" s="36"/>
      <c r="V202" s="36"/>
      <c r="W202" s="36"/>
      <c r="X202" s="68"/>
      <c r="Y202" s="69"/>
      <c r="Z202" s="36"/>
      <c r="AA202" s="36"/>
    </row>
    <row r="203" spans="1:27" ht="16.8">
      <c r="A203" s="106">
        <v>2</v>
      </c>
      <c r="B203" s="85">
        <v>44956125.299999997</v>
      </c>
      <c r="C203" s="87">
        <v>16</v>
      </c>
      <c r="D203" s="86" t="s">
        <v>223</v>
      </c>
      <c r="E203" s="46"/>
      <c r="F203" s="46"/>
      <c r="G203" s="47" t="s">
        <v>244</v>
      </c>
      <c r="H203" s="121"/>
      <c r="I203" s="121"/>
      <c r="J203" s="121"/>
      <c r="K203" s="121"/>
      <c r="L203" s="47"/>
      <c r="M203" s="47"/>
      <c r="N203" s="36"/>
      <c r="O203" s="36"/>
      <c r="P203" s="36"/>
      <c r="Q203" s="36"/>
      <c r="R203" s="68"/>
      <c r="S203" s="69"/>
      <c r="T203" s="36"/>
      <c r="U203" s="35"/>
      <c r="V203" s="36"/>
      <c r="W203" s="36"/>
      <c r="X203" s="68"/>
      <c r="Y203" s="69"/>
      <c r="Z203" s="36"/>
      <c r="AA203" s="36"/>
    </row>
    <row r="204" spans="1:27" ht="16.8">
      <c r="A204" s="77">
        <v>3</v>
      </c>
      <c r="B204" s="70">
        <v>20646135.100000001</v>
      </c>
      <c r="C204" s="69">
        <v>7</v>
      </c>
      <c r="D204" t="s">
        <v>225</v>
      </c>
      <c r="E204" s="36"/>
      <c r="F204" s="36"/>
      <c r="G204" s="36"/>
      <c r="H204" s="36"/>
      <c r="I204" s="36"/>
      <c r="J204" s="36"/>
      <c r="K204" s="36"/>
      <c r="L204" s="36"/>
      <c r="M204" s="36"/>
      <c r="N204" s="36"/>
      <c r="O204" s="36"/>
      <c r="P204" s="36"/>
      <c r="Q204" s="36"/>
      <c r="R204" s="68"/>
      <c r="S204" s="69"/>
      <c r="T204" s="36"/>
      <c r="U204" s="35"/>
      <c r="V204" s="36"/>
      <c r="W204" s="36"/>
      <c r="X204" s="68"/>
      <c r="Y204" s="69"/>
      <c r="Z204" s="36"/>
      <c r="AA204" s="36"/>
    </row>
    <row r="205" spans="1:27" ht="16.8">
      <c r="A205" s="77">
        <v>4</v>
      </c>
      <c r="B205" s="70">
        <v>17289206.800000001</v>
      </c>
      <c r="C205" s="69">
        <v>1</v>
      </c>
      <c r="D205" t="s">
        <v>237</v>
      </c>
      <c r="E205" s="36"/>
      <c r="F205" s="36"/>
      <c r="G205" s="123" t="s">
        <v>296</v>
      </c>
      <c r="J205" s="36"/>
      <c r="K205" s="36"/>
      <c r="L205" s="36"/>
      <c r="M205" s="36"/>
      <c r="N205" s="36"/>
      <c r="O205" s="36"/>
      <c r="P205" s="36"/>
      <c r="Q205" s="36"/>
      <c r="R205" s="68"/>
      <c r="S205" s="69"/>
      <c r="T205" s="36"/>
      <c r="U205" s="35"/>
      <c r="V205" s="36"/>
      <c r="W205" s="36"/>
      <c r="X205" s="68"/>
      <c r="Y205" s="69"/>
      <c r="Z205" s="36"/>
      <c r="AA205" s="36"/>
    </row>
    <row r="206" spans="1:27" ht="16.8">
      <c r="A206" s="77">
        <v>5</v>
      </c>
      <c r="B206" s="70">
        <v>15020660.800000001</v>
      </c>
      <c r="C206" s="69">
        <v>13</v>
      </c>
      <c r="D206" t="s">
        <v>229</v>
      </c>
      <c r="E206" s="36"/>
      <c r="F206" s="36"/>
      <c r="J206" s="36"/>
      <c r="K206" s="36"/>
      <c r="L206" s="36"/>
      <c r="M206" s="36"/>
      <c r="N206" s="36"/>
      <c r="O206" s="36"/>
      <c r="P206" s="36"/>
      <c r="Q206" s="36"/>
      <c r="R206" s="68"/>
      <c r="S206" s="69"/>
      <c r="T206" s="36"/>
      <c r="U206" s="35"/>
      <c r="V206" s="36"/>
      <c r="W206" s="36"/>
      <c r="X206" s="68"/>
      <c r="Y206" s="69"/>
      <c r="Z206" s="36"/>
      <c r="AA206" s="36"/>
    </row>
    <row r="207" spans="1:27" ht="16.8">
      <c r="A207" s="77">
        <v>6</v>
      </c>
      <c r="B207" s="70">
        <v>12345538</v>
      </c>
      <c r="C207" s="69">
        <v>19</v>
      </c>
      <c r="D207" t="s">
        <v>226</v>
      </c>
      <c r="E207" s="36"/>
      <c r="F207" s="36"/>
      <c r="G207" t="s">
        <v>297</v>
      </c>
      <c r="J207" s="36"/>
      <c r="K207" s="36"/>
      <c r="L207" s="36"/>
      <c r="M207" s="36"/>
      <c r="N207" s="36"/>
      <c r="O207" s="36"/>
      <c r="P207" s="36"/>
      <c r="Q207" s="36"/>
      <c r="R207" s="68"/>
      <c r="S207" s="69"/>
      <c r="T207" s="36"/>
      <c r="U207" s="36"/>
      <c r="V207" s="36"/>
      <c r="W207" s="36"/>
      <c r="X207" s="68"/>
      <c r="Y207" s="69"/>
      <c r="Z207" s="36"/>
      <c r="AA207" s="36"/>
    </row>
    <row r="208" spans="1:27" ht="16.8">
      <c r="A208" s="77">
        <v>7</v>
      </c>
      <c r="B208" s="70">
        <v>11551570.300000001</v>
      </c>
      <c r="C208" s="69">
        <v>12</v>
      </c>
      <c r="D208" t="s">
        <v>235</v>
      </c>
      <c r="E208" s="36"/>
      <c r="F208" s="36"/>
      <c r="G208" t="s">
        <v>298</v>
      </c>
      <c r="J208" s="36"/>
      <c r="K208" s="36"/>
      <c r="L208" s="36"/>
      <c r="M208" s="36"/>
      <c r="N208" s="36"/>
      <c r="O208" s="36"/>
      <c r="P208" s="36"/>
      <c r="Q208" s="36"/>
      <c r="R208" s="68"/>
      <c r="S208" s="69"/>
      <c r="T208" s="36"/>
      <c r="X208" s="68"/>
      <c r="Y208" s="69"/>
      <c r="Z208" s="36"/>
      <c r="AA208" s="36"/>
    </row>
    <row r="209" spans="1:27" ht="16.8">
      <c r="A209" s="77">
        <v>8</v>
      </c>
      <c r="B209" s="70">
        <v>9208026</v>
      </c>
      <c r="C209" s="69">
        <v>3</v>
      </c>
      <c r="D209" t="s">
        <v>227</v>
      </c>
      <c r="E209" s="36"/>
      <c r="F209" s="36"/>
      <c r="G209" t="s">
        <v>299</v>
      </c>
      <c r="J209" s="36"/>
      <c r="K209" s="36"/>
      <c r="L209" s="36"/>
      <c r="M209" s="36"/>
      <c r="N209" s="36"/>
      <c r="O209" s="36"/>
      <c r="P209" s="36"/>
      <c r="Q209" s="36"/>
      <c r="R209" s="68"/>
      <c r="S209" s="69"/>
      <c r="T209" s="36"/>
      <c r="X209" s="68"/>
      <c r="Y209" s="69"/>
      <c r="Z209" s="36"/>
      <c r="AA209" s="36"/>
    </row>
    <row r="210" spans="1:27" ht="16.8">
      <c r="A210" s="77">
        <v>9</v>
      </c>
      <c r="B210" s="70">
        <v>8177351.7999999998</v>
      </c>
      <c r="C210" s="69">
        <v>20</v>
      </c>
      <c r="D210" t="s">
        <v>230</v>
      </c>
      <c r="E210" s="36"/>
      <c r="F210" s="36"/>
      <c r="J210" s="36"/>
      <c r="K210" s="36"/>
      <c r="L210" s="36"/>
      <c r="M210" s="36"/>
      <c r="N210" s="36"/>
      <c r="O210" s="36"/>
      <c r="P210" s="36"/>
      <c r="Q210" s="36"/>
      <c r="R210" s="68"/>
      <c r="S210" s="69"/>
      <c r="T210" s="36"/>
      <c r="X210" s="68"/>
      <c r="Y210" s="69"/>
      <c r="Z210" s="36"/>
      <c r="AA210" s="36"/>
    </row>
    <row r="211" spans="1:27" ht="16.8">
      <c r="A211" s="77">
        <v>10</v>
      </c>
      <c r="B211" s="70">
        <v>8053132</v>
      </c>
      <c r="C211" s="69">
        <v>15</v>
      </c>
      <c r="D211" t="s">
        <v>233</v>
      </c>
      <c r="E211" s="36"/>
      <c r="F211" s="36"/>
      <c r="J211" s="36"/>
      <c r="K211" s="36"/>
      <c r="L211" s="36"/>
      <c r="M211" s="36"/>
      <c r="N211" s="36"/>
      <c r="O211" s="36"/>
      <c r="P211" s="36"/>
      <c r="Q211" s="36"/>
      <c r="R211" s="68"/>
      <c r="S211" s="69"/>
      <c r="T211" s="36"/>
      <c r="X211" s="68"/>
      <c r="Y211" s="69"/>
      <c r="Z211" s="36"/>
      <c r="AA211" s="36"/>
    </row>
    <row r="212" spans="1:27" ht="16.8">
      <c r="A212" s="77">
        <v>11</v>
      </c>
      <c r="B212" s="70">
        <v>6369953.5999999996</v>
      </c>
      <c r="C212" s="69">
        <v>9</v>
      </c>
      <c r="D212" t="s">
        <v>234</v>
      </c>
      <c r="E212" s="36"/>
      <c r="F212" s="36"/>
      <c r="J212" s="36"/>
      <c r="K212" s="36"/>
      <c r="L212" s="36"/>
      <c r="M212" s="36"/>
      <c r="N212" s="36"/>
      <c r="O212" s="36"/>
      <c r="P212" s="36"/>
      <c r="Q212" s="36"/>
      <c r="R212" s="68"/>
      <c r="S212" s="80"/>
      <c r="T212" s="36"/>
      <c r="X212" s="68"/>
      <c r="Y212" s="69"/>
      <c r="Z212" s="36"/>
      <c r="AA212" s="36"/>
    </row>
    <row r="213" spans="1:27" ht="16.8">
      <c r="A213" s="77">
        <v>12</v>
      </c>
      <c r="B213" s="70">
        <v>5644626</v>
      </c>
      <c r="C213" s="69">
        <v>14</v>
      </c>
      <c r="D213" t="s">
        <v>228</v>
      </c>
      <c r="E213" s="36"/>
      <c r="F213" s="36"/>
      <c r="J213" s="36"/>
      <c r="K213" s="36"/>
      <c r="L213" s="36"/>
      <c r="M213" s="36"/>
      <c r="N213" s="36"/>
      <c r="O213" s="36"/>
      <c r="P213" s="36"/>
      <c r="Q213" s="36"/>
      <c r="R213" s="68"/>
      <c r="S213" s="69"/>
      <c r="T213" s="36"/>
      <c r="U213" s="36"/>
      <c r="V213" s="36"/>
      <c r="W213" s="36"/>
      <c r="X213" s="68"/>
      <c r="Y213" s="69"/>
      <c r="Z213" s="36"/>
      <c r="AA213" s="36"/>
    </row>
    <row r="214" spans="1:27" ht="16.8">
      <c r="A214" s="77">
        <v>13</v>
      </c>
      <c r="B214" s="70">
        <v>5454352.7000000002</v>
      </c>
      <c r="C214" s="69">
        <v>17</v>
      </c>
      <c r="D214" t="s">
        <v>236</v>
      </c>
      <c r="E214" s="36"/>
      <c r="F214" s="36"/>
      <c r="J214" s="36"/>
      <c r="K214" s="36"/>
      <c r="L214" s="36"/>
      <c r="M214" s="36"/>
      <c r="N214" s="36"/>
      <c r="O214" s="36"/>
      <c r="P214" s="36"/>
      <c r="Q214" s="36"/>
      <c r="R214" s="68"/>
      <c r="S214" s="69"/>
      <c r="T214" s="36"/>
      <c r="X214" s="68"/>
      <c r="Y214" s="69"/>
      <c r="Z214" s="36"/>
      <c r="AA214" s="36"/>
    </row>
    <row r="215" spans="1:27" ht="16.8">
      <c r="A215" s="77">
        <v>14</v>
      </c>
      <c r="B215" s="70">
        <v>3579129.9</v>
      </c>
      <c r="C215" s="69">
        <v>11</v>
      </c>
      <c r="D215" t="s">
        <v>232</v>
      </c>
      <c r="E215" s="36"/>
      <c r="F215" s="36"/>
      <c r="J215" s="36"/>
      <c r="K215" s="36"/>
      <c r="L215" s="36"/>
      <c r="M215" s="36"/>
      <c r="N215" s="36"/>
      <c r="O215" s="36"/>
      <c r="P215" s="36"/>
      <c r="Q215" s="36"/>
      <c r="R215" s="68"/>
      <c r="S215" s="69"/>
      <c r="T215" s="36"/>
      <c r="X215" s="36"/>
      <c r="Y215" s="36"/>
      <c r="Z215" s="36"/>
      <c r="AA215" s="36"/>
    </row>
    <row r="216" spans="1:27" ht="16.8">
      <c r="A216" s="77">
        <v>15</v>
      </c>
      <c r="B216" s="70">
        <v>3237160.6</v>
      </c>
      <c r="C216" s="69">
        <v>18</v>
      </c>
      <c r="D216" t="s">
        <v>221</v>
      </c>
      <c r="E216" s="36"/>
      <c r="F216" s="36"/>
      <c r="J216" s="36"/>
      <c r="K216" s="36"/>
      <c r="L216" s="36"/>
      <c r="M216" s="36"/>
      <c r="N216" s="36"/>
      <c r="O216" s="36"/>
      <c r="P216" s="36"/>
      <c r="Q216" s="36"/>
      <c r="R216" s="68"/>
      <c r="S216" s="69"/>
      <c r="T216" s="36"/>
      <c r="X216" s="36"/>
      <c r="Y216" s="36"/>
      <c r="Z216" s="36"/>
      <c r="AA216" s="36"/>
    </row>
    <row r="217" spans="1:27" ht="16.8">
      <c r="A217" s="77">
        <v>16</v>
      </c>
      <c r="B217" s="70">
        <v>2068472.7</v>
      </c>
      <c r="C217" s="69">
        <v>6</v>
      </c>
      <c r="D217" t="s">
        <v>231</v>
      </c>
      <c r="E217" s="36"/>
      <c r="F217" s="36"/>
      <c r="J217" s="36"/>
      <c r="K217" s="36"/>
      <c r="L217" s="36"/>
      <c r="M217" s="36"/>
      <c r="N217" s="36"/>
      <c r="O217" s="36"/>
      <c r="P217" s="36"/>
      <c r="Q217" s="36"/>
      <c r="R217" s="68"/>
      <c r="S217" s="69"/>
      <c r="T217" s="36"/>
      <c r="X217" s="36"/>
      <c r="Y217" s="36"/>
      <c r="Z217" s="36"/>
      <c r="AA217" s="36"/>
    </row>
    <row r="218" spans="1:27" ht="16.8">
      <c r="A218" s="77">
        <v>17</v>
      </c>
      <c r="B218" s="70">
        <v>1251654.3</v>
      </c>
      <c r="C218" s="69">
        <v>5</v>
      </c>
      <c r="D218" t="s">
        <v>239</v>
      </c>
      <c r="E218" s="36"/>
      <c r="F218" s="36"/>
      <c r="J218" s="36"/>
      <c r="K218" s="36"/>
      <c r="L218" s="36"/>
      <c r="M218" s="36"/>
      <c r="N218" s="36"/>
      <c r="O218" s="36"/>
      <c r="P218" s="36"/>
      <c r="Q218" s="36"/>
      <c r="R218" s="68"/>
      <c r="S218" s="69"/>
      <c r="T218" s="36"/>
      <c r="X218" s="36"/>
      <c r="Y218" s="36"/>
      <c r="Z218" s="36"/>
      <c r="AA218" s="36"/>
    </row>
    <row r="219" spans="1:27" ht="16.8">
      <c r="A219" s="77">
        <v>18</v>
      </c>
      <c r="B219" s="70">
        <v>770888.4</v>
      </c>
      <c r="C219" s="69">
        <v>8</v>
      </c>
      <c r="D219" t="s">
        <v>238</v>
      </c>
      <c r="E219" s="36"/>
      <c r="F219" s="36"/>
      <c r="J219" s="36"/>
      <c r="K219" s="36"/>
      <c r="L219" s="36"/>
      <c r="M219" s="36"/>
      <c r="N219" s="36"/>
      <c r="O219" s="36"/>
      <c r="P219" s="36"/>
      <c r="Q219" s="36"/>
      <c r="R219" s="36"/>
      <c r="S219" s="36"/>
      <c r="T219" s="36"/>
      <c r="U219" s="36"/>
      <c r="V219" s="36"/>
      <c r="W219" s="36"/>
      <c r="X219" s="36"/>
      <c r="Y219" s="36"/>
      <c r="Z219" s="36"/>
      <c r="AA219" s="36"/>
    </row>
    <row r="220" spans="1:27" ht="16.8">
      <c r="A220" s="77">
        <v>19</v>
      </c>
      <c r="B220" s="70">
        <v>598845.19999999995</v>
      </c>
      <c r="C220" s="69">
        <v>21</v>
      </c>
      <c r="D220" t="s">
        <v>219</v>
      </c>
      <c r="E220" s="36"/>
      <c r="F220" s="36"/>
      <c r="J220" s="36"/>
      <c r="K220" s="36"/>
      <c r="L220" s="36"/>
      <c r="M220" s="36"/>
      <c r="N220" s="36"/>
      <c r="O220" s="36"/>
      <c r="P220" s="36"/>
      <c r="Q220" s="36"/>
      <c r="R220" s="36"/>
      <c r="S220" s="36"/>
      <c r="T220" s="36"/>
      <c r="U220" s="36"/>
      <c r="V220" s="36"/>
      <c r="W220" s="36"/>
      <c r="X220" s="36"/>
      <c r="Y220" s="36"/>
      <c r="Z220" s="36"/>
      <c r="AA220" s="36"/>
    </row>
    <row r="221" spans="1:27" ht="16.8">
      <c r="A221" s="77">
        <v>20</v>
      </c>
      <c r="B221" s="70">
        <v>288648.59999999998</v>
      </c>
      <c r="C221" s="69">
        <v>10</v>
      </c>
      <c r="D221" t="s">
        <v>220</v>
      </c>
      <c r="E221" s="36"/>
      <c r="F221" s="36"/>
      <c r="J221" s="36"/>
      <c r="K221" s="36"/>
      <c r="L221" s="36"/>
      <c r="M221" s="36"/>
      <c r="N221" s="36"/>
      <c r="O221" s="36"/>
      <c r="P221" s="36"/>
      <c r="Q221" s="36"/>
      <c r="R221" s="36"/>
      <c r="S221" s="82"/>
      <c r="T221" s="36"/>
      <c r="U221" s="36"/>
      <c r="V221" s="36"/>
      <c r="W221" s="36"/>
      <c r="X221" s="36"/>
      <c r="Y221" s="36"/>
      <c r="Z221" s="36"/>
      <c r="AA221" s="36"/>
    </row>
    <row r="222" spans="1:27" ht="16.8">
      <c r="A222" s="77">
        <v>21</v>
      </c>
      <c r="B222" s="70">
        <v>253708</v>
      </c>
      <c r="C222" s="69">
        <v>2</v>
      </c>
      <c r="D222" t="s">
        <v>224</v>
      </c>
      <c r="E222" s="36"/>
      <c r="F222" s="36"/>
      <c r="J222" s="36"/>
      <c r="K222" s="36"/>
      <c r="L222" s="36"/>
      <c r="M222" s="36"/>
      <c r="N222" s="36"/>
      <c r="O222" s="36"/>
      <c r="P222" s="36"/>
      <c r="Q222" s="36"/>
      <c r="R222" s="36"/>
      <c r="S222" s="82"/>
      <c r="T222" s="36"/>
      <c r="U222" s="36"/>
      <c r="V222" s="36"/>
      <c r="W222" s="36"/>
      <c r="X222" s="36"/>
      <c r="Y222" s="36"/>
      <c r="Z222" s="36"/>
      <c r="AA222" s="36"/>
    </row>
    <row r="223" spans="1:27" ht="15.6">
      <c r="A223" s="36"/>
      <c r="B223" s="36"/>
      <c r="C223" s="36"/>
      <c r="D223" s="36"/>
      <c r="E223" s="36"/>
      <c r="F223" s="36"/>
      <c r="J223" s="36"/>
      <c r="K223" s="36"/>
      <c r="L223" s="36"/>
      <c r="M223" s="36"/>
      <c r="N223" s="36"/>
      <c r="O223" s="36"/>
      <c r="P223" s="36"/>
      <c r="Q223" s="36"/>
      <c r="R223" s="36"/>
      <c r="S223" s="82"/>
      <c r="T223" s="36"/>
      <c r="U223" s="36"/>
      <c r="V223" s="36"/>
      <c r="W223" s="36"/>
      <c r="X223" s="36"/>
      <c r="Y223" s="36"/>
      <c r="Z223" s="36"/>
      <c r="AA223" s="36"/>
    </row>
    <row r="224" spans="1:27" ht="15.6">
      <c r="A224" s="36"/>
      <c r="B224" s="36"/>
      <c r="C224" s="36"/>
      <c r="D224" s="36"/>
      <c r="E224" s="36"/>
      <c r="F224" s="36"/>
      <c r="J224" s="36"/>
      <c r="K224" s="36"/>
      <c r="L224" s="36"/>
      <c r="M224" s="36"/>
      <c r="N224" s="36"/>
      <c r="O224" s="36"/>
      <c r="P224" s="36"/>
      <c r="Q224" s="36"/>
      <c r="R224" s="36"/>
      <c r="S224" s="82"/>
      <c r="T224" s="36"/>
      <c r="U224" s="36"/>
      <c r="V224" s="36"/>
      <c r="W224" s="36"/>
      <c r="X224" s="36"/>
      <c r="Y224" s="36"/>
      <c r="Z224" s="36"/>
      <c r="AA224" s="36"/>
    </row>
    <row r="225" spans="1:27" ht="15.6">
      <c r="A225" s="67"/>
      <c r="B225" s="60" t="s">
        <v>24</v>
      </c>
      <c r="C225" s="67"/>
      <c r="D225" s="60" t="s">
        <v>246</v>
      </c>
      <c r="E225" s="67"/>
      <c r="F225" s="67"/>
      <c r="G225" s="67"/>
      <c r="H225" s="67"/>
      <c r="I225" s="67"/>
      <c r="J225" s="67"/>
      <c r="K225" s="67"/>
      <c r="L225" s="67"/>
      <c r="M225" s="67"/>
      <c r="N225" s="36"/>
      <c r="O225" s="36"/>
      <c r="P225" s="36"/>
      <c r="Q225" s="36"/>
      <c r="R225" s="36"/>
      <c r="S225" s="36"/>
      <c r="T225" s="36"/>
      <c r="U225" s="36"/>
      <c r="V225" s="36"/>
      <c r="W225" s="36"/>
      <c r="X225" s="36"/>
      <c r="Y225" s="36"/>
      <c r="Z225" s="36"/>
      <c r="AA225" s="36"/>
    </row>
    <row r="226" spans="1:27" ht="15.6">
      <c r="A226" s="67"/>
      <c r="B226" s="67"/>
      <c r="C226" s="67"/>
      <c r="D226" s="60" t="s">
        <v>247</v>
      </c>
      <c r="E226" s="67"/>
      <c r="F226" s="67"/>
      <c r="G226" s="67"/>
      <c r="H226" s="67"/>
      <c r="I226" s="67"/>
      <c r="J226" s="67"/>
      <c r="K226" s="67"/>
      <c r="L226" s="67"/>
      <c r="M226" s="67"/>
      <c r="N226" s="36"/>
      <c r="O226" s="36"/>
      <c r="P226" s="36"/>
      <c r="Q226" s="36"/>
      <c r="R226" s="36"/>
      <c r="S226" s="36"/>
      <c r="T226" s="36"/>
      <c r="U226" s="36"/>
      <c r="V226" s="36"/>
      <c r="W226" s="36"/>
      <c r="X226" s="36"/>
      <c r="Y226" s="36"/>
      <c r="Z226" s="36"/>
      <c r="AA226" s="36"/>
    </row>
    <row r="227" spans="1:27" ht="15.6">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row>
    <row r="228" spans="1:27" ht="15.6">
      <c r="A228" s="67"/>
      <c r="B228" s="108">
        <v>5.0999999999999996</v>
      </c>
      <c r="C228" s="67"/>
      <c r="D228" s="108" t="s">
        <v>384</v>
      </c>
      <c r="E228" s="67"/>
      <c r="F228" s="67"/>
      <c r="G228" s="67"/>
      <c r="H228" s="67"/>
      <c r="I228" s="67"/>
      <c r="J228" s="67"/>
      <c r="K228" s="67"/>
      <c r="L228" s="67"/>
      <c r="M228" s="67"/>
      <c r="N228" s="36"/>
      <c r="O228" s="36"/>
      <c r="P228" s="36"/>
      <c r="Q228" s="36"/>
      <c r="R228" s="36"/>
      <c r="T228" s="36"/>
      <c r="U228" s="36"/>
      <c r="V228" s="36"/>
      <c r="W228" s="36"/>
      <c r="X228" s="36"/>
      <c r="Y228" s="36"/>
      <c r="Z228" s="36"/>
      <c r="AA228" s="36"/>
    </row>
    <row r="229" spans="1:27" ht="15.6">
      <c r="A229" s="67"/>
      <c r="B229" s="67"/>
      <c r="C229" s="67"/>
      <c r="D229" s="60" t="s">
        <v>248</v>
      </c>
      <c r="E229" s="67"/>
      <c r="F229" s="67"/>
      <c r="G229" s="67"/>
      <c r="H229" s="67"/>
      <c r="I229" s="67"/>
      <c r="J229" s="67"/>
      <c r="K229" s="67"/>
      <c r="L229" s="67"/>
      <c r="M229" s="67"/>
      <c r="N229" s="36"/>
      <c r="O229" s="36"/>
      <c r="P229" s="36"/>
      <c r="Q229" s="36"/>
      <c r="R229" s="36"/>
      <c r="S229" s="36"/>
      <c r="T229" s="36"/>
      <c r="U229" s="36"/>
      <c r="V229" s="36"/>
      <c r="W229" s="36"/>
      <c r="X229" s="36"/>
      <c r="Y229" s="36"/>
      <c r="Z229" s="36"/>
      <c r="AA229" s="36"/>
    </row>
    <row r="230" spans="1:27" ht="15.6">
      <c r="A230" s="173"/>
      <c r="B230" s="173"/>
      <c r="C230" s="173"/>
      <c r="D230" s="174"/>
      <c r="E230" s="173"/>
      <c r="F230" s="173"/>
      <c r="G230" s="173"/>
      <c r="H230" s="173"/>
      <c r="I230" s="173"/>
      <c r="J230" s="173"/>
      <c r="K230" s="173"/>
      <c r="L230" s="173"/>
      <c r="M230" s="173"/>
      <c r="N230" s="36"/>
      <c r="O230" s="36"/>
      <c r="P230" s="36"/>
      <c r="Q230" s="36"/>
      <c r="R230" s="36"/>
      <c r="S230" s="36"/>
      <c r="T230" s="36"/>
      <c r="U230" s="36"/>
      <c r="V230" s="36"/>
      <c r="W230" s="36"/>
      <c r="X230" s="36"/>
      <c r="Y230" s="36"/>
      <c r="Z230" s="36"/>
      <c r="AA230" s="36"/>
    </row>
    <row r="231" spans="1:27" ht="15.6">
      <c r="A231" s="175"/>
      <c r="B231" s="176" t="s">
        <v>370</v>
      </c>
      <c r="C231" s="175"/>
      <c r="D231" s="175" t="s">
        <v>385</v>
      </c>
      <c r="E231" s="175"/>
      <c r="F231" s="175"/>
      <c r="G231" s="175"/>
      <c r="H231" s="175"/>
      <c r="I231" s="175"/>
      <c r="J231" s="175"/>
      <c r="K231" s="175"/>
      <c r="L231" s="175"/>
      <c r="M231" s="175"/>
      <c r="N231" s="36"/>
      <c r="O231" s="36"/>
      <c r="P231" s="36"/>
      <c r="Q231" s="36"/>
      <c r="R231" s="36"/>
      <c r="S231" s="36"/>
      <c r="T231" s="36"/>
      <c r="U231" s="36"/>
      <c r="V231" s="36"/>
      <c r="W231" s="36"/>
      <c r="X231" s="36"/>
      <c r="Y231" s="36"/>
      <c r="Z231" s="36"/>
      <c r="AA231" s="36"/>
    </row>
    <row r="232" spans="1:27" ht="15.6">
      <c r="A232" s="175"/>
      <c r="B232" s="175"/>
      <c r="C232" s="175"/>
      <c r="D232" s="175" t="s">
        <v>387</v>
      </c>
      <c r="E232" s="175"/>
      <c r="F232" s="175"/>
      <c r="G232" s="175"/>
      <c r="H232" s="175"/>
      <c r="I232" s="175"/>
      <c r="J232" s="175"/>
      <c r="K232" s="175"/>
      <c r="L232" s="175"/>
      <c r="M232" s="175"/>
      <c r="N232" s="36"/>
      <c r="O232" s="36"/>
      <c r="P232" s="36"/>
      <c r="Q232" s="36"/>
      <c r="R232" s="36"/>
      <c r="S232" s="36"/>
      <c r="T232" s="36"/>
      <c r="U232" s="36"/>
      <c r="V232" s="36"/>
      <c r="W232" s="36"/>
      <c r="X232" s="36"/>
      <c r="Y232" s="36"/>
      <c r="Z232" s="36"/>
      <c r="AA232" s="36"/>
    </row>
    <row r="233" spans="1:27" ht="15.6">
      <c r="A233" s="175"/>
      <c r="B233" s="175"/>
      <c r="C233" s="175"/>
      <c r="D233" s="175" t="s">
        <v>386</v>
      </c>
      <c r="E233" s="175"/>
      <c r="F233" s="175"/>
      <c r="G233" s="175"/>
      <c r="H233" s="175"/>
      <c r="I233" s="175"/>
      <c r="J233" s="175"/>
      <c r="K233" s="175"/>
      <c r="L233" s="175"/>
      <c r="M233" s="175"/>
      <c r="N233" s="36"/>
      <c r="O233" s="36"/>
      <c r="P233" s="36"/>
      <c r="Q233" s="36"/>
      <c r="R233" s="36"/>
      <c r="S233" s="36"/>
      <c r="T233" s="36"/>
      <c r="U233" s="36"/>
      <c r="V233" s="36"/>
      <c r="W233" s="36"/>
      <c r="X233" s="36"/>
      <c r="Y233" s="36"/>
      <c r="Z233" s="36"/>
      <c r="AA233" s="36"/>
    </row>
    <row r="234" spans="1:27" ht="15.6">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row>
    <row r="235" spans="1:27" ht="15.6">
      <c r="A235" s="36"/>
      <c r="B235" s="90" t="s">
        <v>77</v>
      </c>
      <c r="C235" s="43" t="s">
        <v>252</v>
      </c>
      <c r="D235" s="36"/>
      <c r="E235" s="36"/>
      <c r="F235" s="107" t="s">
        <v>211</v>
      </c>
      <c r="G235" s="36"/>
      <c r="H235" s="36"/>
      <c r="I235" s="36"/>
      <c r="J235" s="36"/>
      <c r="K235" s="36"/>
      <c r="L235" s="36"/>
      <c r="M235" s="36"/>
      <c r="N235" s="36"/>
      <c r="O235" s="36"/>
      <c r="P235" s="36"/>
      <c r="Q235" s="36"/>
      <c r="R235" s="36"/>
      <c r="S235" s="36"/>
      <c r="T235" s="36"/>
      <c r="U235" s="36"/>
      <c r="V235" s="36"/>
      <c r="W235" s="36"/>
      <c r="X235" s="36"/>
      <c r="Y235" s="36"/>
      <c r="Z235" s="36"/>
      <c r="AA235" s="36"/>
    </row>
    <row r="236" spans="1:27" ht="15.6">
      <c r="A236" s="36"/>
      <c r="B236" s="105">
        <v>21556644</v>
      </c>
      <c r="C236" s="36" t="s">
        <v>249</v>
      </c>
      <c r="E236" s="36"/>
      <c r="F236" s="36" t="s">
        <v>253</v>
      </c>
      <c r="G236" s="36"/>
      <c r="H236" s="36"/>
      <c r="I236" s="36"/>
      <c r="J236" s="36"/>
      <c r="K236" s="36"/>
      <c r="L236" s="36"/>
      <c r="M236" s="36"/>
      <c r="N236" s="36"/>
      <c r="O236" s="36"/>
      <c r="P236" s="36"/>
      <c r="Q236" s="36"/>
      <c r="R236" s="36"/>
      <c r="S236" s="36"/>
      <c r="T236" s="36"/>
      <c r="U236" s="36"/>
      <c r="V236" s="36"/>
      <c r="W236" s="36"/>
      <c r="X236" s="36"/>
      <c r="Y236" s="36"/>
      <c r="Z236" s="36"/>
      <c r="AA236" s="36"/>
    </row>
    <row r="237" spans="1:27" ht="15.6">
      <c r="A237" s="36"/>
      <c r="B237" s="105">
        <v>7207340</v>
      </c>
      <c r="C237" s="36" t="s">
        <v>250</v>
      </c>
      <c r="E237" s="36"/>
      <c r="F237" s="36" t="s">
        <v>254</v>
      </c>
      <c r="G237" s="36"/>
      <c r="H237" s="36"/>
      <c r="I237" s="36"/>
      <c r="J237" s="36"/>
      <c r="K237" s="36"/>
      <c r="L237" s="36"/>
      <c r="M237" s="36"/>
      <c r="N237" s="36"/>
      <c r="O237" s="36"/>
      <c r="P237" s="36"/>
      <c r="Q237" s="36"/>
      <c r="R237" s="36"/>
      <c r="S237" s="36"/>
      <c r="T237" s="36"/>
      <c r="U237" s="36"/>
      <c r="V237" s="36"/>
      <c r="W237" s="36"/>
      <c r="X237" s="36"/>
      <c r="Y237" s="36"/>
      <c r="Z237" s="36"/>
      <c r="AA237" s="36"/>
    </row>
    <row r="238" spans="1:27" ht="15.6">
      <c r="A238" s="36"/>
      <c r="B238" s="105">
        <v>3635743</v>
      </c>
      <c r="C238" s="36" t="s">
        <v>251</v>
      </c>
      <c r="E238" s="36"/>
      <c r="F238" s="36" t="s">
        <v>255</v>
      </c>
      <c r="G238" s="36"/>
      <c r="H238" s="36"/>
      <c r="I238" s="36"/>
      <c r="J238" s="36"/>
      <c r="K238" s="36"/>
      <c r="L238" s="36"/>
      <c r="M238" s="36"/>
      <c r="N238" s="36"/>
      <c r="O238" s="36"/>
      <c r="P238" s="36"/>
      <c r="Q238" s="36"/>
      <c r="R238" s="36"/>
      <c r="S238" s="36"/>
      <c r="T238" s="36"/>
      <c r="U238" s="36"/>
      <c r="V238" s="36"/>
      <c r="W238" s="36"/>
      <c r="X238" s="36"/>
      <c r="Y238" s="36"/>
      <c r="Z238" s="36"/>
      <c r="AA238" s="36"/>
    </row>
    <row r="239" spans="1:27" ht="15.6">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spans="1:27" ht="15.6">
      <c r="A240" s="36"/>
      <c r="B240" s="35"/>
      <c r="D240" s="36"/>
      <c r="E240" s="36"/>
      <c r="H240" s="36"/>
      <c r="I240" s="36"/>
      <c r="J240" s="36"/>
      <c r="K240" s="36"/>
      <c r="L240" s="36"/>
      <c r="M240" s="36"/>
      <c r="N240" s="36"/>
      <c r="O240" s="36"/>
      <c r="P240" s="36"/>
      <c r="Q240" s="36"/>
      <c r="R240" s="36"/>
      <c r="S240" s="36"/>
      <c r="T240" s="36"/>
      <c r="U240" s="36"/>
      <c r="V240" s="36"/>
      <c r="W240" s="36"/>
      <c r="X240" s="36"/>
      <c r="Y240" s="36"/>
      <c r="Z240" s="36"/>
      <c r="AA240" s="36"/>
    </row>
    <row r="241" spans="1:27" ht="15.6">
      <c r="A241" s="67"/>
      <c r="B241" s="108">
        <v>5.2</v>
      </c>
      <c r="C241" s="59"/>
      <c r="D241" s="108" t="s">
        <v>388</v>
      </c>
      <c r="E241" s="67"/>
      <c r="F241" s="59"/>
      <c r="G241" s="59"/>
      <c r="H241" s="67"/>
      <c r="I241" s="67"/>
      <c r="J241" s="67"/>
      <c r="K241" s="67"/>
      <c r="L241" s="67"/>
      <c r="M241" s="67"/>
      <c r="N241" s="36"/>
      <c r="O241" s="36"/>
      <c r="P241" s="36"/>
      <c r="Q241" s="36"/>
      <c r="R241" s="36"/>
      <c r="S241" s="36"/>
      <c r="T241" s="36"/>
      <c r="U241" s="36"/>
      <c r="V241" s="36"/>
      <c r="W241" s="36"/>
      <c r="X241" s="36"/>
      <c r="Y241" s="36"/>
      <c r="Z241" s="36"/>
      <c r="AA241" s="36"/>
    </row>
    <row r="242" spans="1:27" ht="15.6">
      <c r="A242" s="173"/>
      <c r="B242" s="180"/>
      <c r="C242" s="181"/>
      <c r="D242" s="180"/>
      <c r="E242" s="173"/>
      <c r="F242" s="181"/>
      <c r="G242" s="181"/>
      <c r="H242" s="173"/>
      <c r="I242" s="173"/>
      <c r="J242" s="173"/>
      <c r="K242" s="173"/>
      <c r="L242" s="173"/>
      <c r="M242" s="173"/>
      <c r="N242" s="36"/>
      <c r="O242" s="36"/>
      <c r="P242" s="36"/>
      <c r="Q242" s="36"/>
      <c r="R242" s="36"/>
      <c r="S242" s="36"/>
      <c r="T242" s="36"/>
      <c r="U242" s="36"/>
      <c r="V242" s="36"/>
      <c r="W242" s="36"/>
      <c r="X242" s="36"/>
      <c r="Y242" s="36"/>
      <c r="Z242" s="36"/>
      <c r="AA242" s="36"/>
    </row>
    <row r="243" spans="1:27" ht="15.6">
      <c r="A243" s="175"/>
      <c r="B243" s="176" t="s">
        <v>370</v>
      </c>
      <c r="C243" s="175"/>
      <c r="D243" s="175" t="s">
        <v>389</v>
      </c>
      <c r="E243" s="175"/>
      <c r="F243" s="175"/>
      <c r="G243" s="175"/>
      <c r="H243" s="175"/>
      <c r="I243" s="175"/>
      <c r="J243" s="175"/>
      <c r="K243" s="175"/>
      <c r="L243" s="175"/>
      <c r="M243" s="175"/>
      <c r="N243" s="36"/>
      <c r="O243" s="36"/>
      <c r="P243" s="36"/>
      <c r="Q243" s="36"/>
      <c r="R243" s="36"/>
      <c r="S243" s="36"/>
      <c r="T243" s="36"/>
      <c r="U243" s="36"/>
      <c r="V243" s="36"/>
      <c r="W243" s="36"/>
      <c r="X243" s="36"/>
      <c r="Y243" s="36"/>
      <c r="Z243" s="36"/>
      <c r="AA243" s="36"/>
    </row>
    <row r="244" spans="1:27" ht="15.6">
      <c r="A244" s="175"/>
      <c r="B244" s="175"/>
      <c r="C244" s="175"/>
      <c r="D244" s="175" t="s">
        <v>391</v>
      </c>
      <c r="E244" s="175"/>
      <c r="F244" s="175"/>
      <c r="G244" s="175"/>
      <c r="H244" s="175"/>
      <c r="I244" s="175"/>
      <c r="J244" s="175"/>
      <c r="K244" s="175"/>
      <c r="L244" s="175"/>
      <c r="M244" s="175"/>
      <c r="N244" s="36"/>
      <c r="O244" s="36"/>
      <c r="P244" s="36"/>
      <c r="Q244" s="36"/>
      <c r="R244" s="36"/>
      <c r="S244" s="36"/>
      <c r="T244" s="36"/>
      <c r="U244" s="36"/>
      <c r="V244" s="36"/>
      <c r="W244" s="36"/>
      <c r="X244" s="36"/>
      <c r="Y244" s="36"/>
      <c r="Z244" s="36"/>
      <c r="AA244" s="36"/>
    </row>
    <row r="245" spans="1:27" ht="15.6">
      <c r="A245" s="175"/>
      <c r="B245" s="175"/>
      <c r="C245" s="175"/>
      <c r="D245" s="175" t="s">
        <v>390</v>
      </c>
      <c r="E245" s="175"/>
      <c r="F245" s="175"/>
      <c r="G245" s="175"/>
      <c r="H245" s="175"/>
      <c r="I245" s="175"/>
      <c r="J245" s="175"/>
      <c r="K245" s="175"/>
      <c r="L245" s="175"/>
      <c r="M245" s="175"/>
      <c r="N245" s="36"/>
      <c r="O245" s="36"/>
      <c r="P245" s="36"/>
      <c r="Q245" s="36"/>
      <c r="R245" s="36"/>
      <c r="S245" s="36"/>
      <c r="T245" s="36"/>
      <c r="U245" s="36"/>
      <c r="V245" s="36"/>
      <c r="W245" s="36"/>
      <c r="X245" s="36"/>
      <c r="Y245" s="36"/>
      <c r="Z245" s="36"/>
      <c r="AA245" s="36"/>
    </row>
    <row r="246" spans="1:27" ht="15.6">
      <c r="A246" s="36"/>
      <c r="B246" s="35"/>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spans="1:27" ht="15.6">
      <c r="A247" s="36"/>
      <c r="B247" s="90" t="s">
        <v>77</v>
      </c>
      <c r="C247" s="43" t="s">
        <v>256</v>
      </c>
      <c r="D247" s="36"/>
      <c r="E247" s="36"/>
      <c r="F247" s="107" t="s">
        <v>211</v>
      </c>
      <c r="G247" s="36"/>
      <c r="H247" s="36"/>
      <c r="I247" s="36"/>
      <c r="J247" s="36"/>
      <c r="K247" s="36"/>
      <c r="L247" s="36"/>
      <c r="M247" s="36"/>
      <c r="N247" s="36"/>
      <c r="O247" s="36"/>
      <c r="P247" s="36"/>
      <c r="Q247" s="36"/>
      <c r="R247" s="36"/>
      <c r="S247" s="36"/>
      <c r="T247" s="36"/>
      <c r="U247" s="36"/>
      <c r="V247" s="36"/>
      <c r="W247" s="36"/>
      <c r="X247" s="36"/>
      <c r="Y247" s="36"/>
      <c r="Z247" s="36"/>
      <c r="AA247" s="36"/>
    </row>
    <row r="248" spans="1:27" ht="15.6">
      <c r="A248" s="36"/>
      <c r="B248" s="105">
        <v>15876776</v>
      </c>
      <c r="C248" s="36" t="s">
        <v>250</v>
      </c>
      <c r="D248" s="36"/>
      <c r="E248" s="36"/>
      <c r="F248" s="36" t="s">
        <v>260</v>
      </c>
      <c r="G248" s="36"/>
      <c r="H248" s="36"/>
      <c r="I248" s="36"/>
      <c r="J248" s="36"/>
      <c r="K248" s="36"/>
      <c r="L248" s="36"/>
      <c r="M248" s="36"/>
      <c r="N248" s="36"/>
      <c r="O248" s="36"/>
      <c r="P248" s="36"/>
      <c r="Q248" s="36"/>
      <c r="R248" s="36"/>
      <c r="S248" s="36"/>
      <c r="T248" s="36"/>
      <c r="U248" s="36"/>
      <c r="V248" s="36"/>
      <c r="W248" s="36"/>
      <c r="X248" s="36"/>
      <c r="Y248" s="36"/>
      <c r="Z248" s="36"/>
      <c r="AA248" s="36"/>
    </row>
    <row r="249" spans="1:27" ht="15.6">
      <c r="A249" s="36"/>
      <c r="B249" s="105">
        <v>10284093</v>
      </c>
      <c r="C249" s="36" t="s">
        <v>257</v>
      </c>
      <c r="D249" s="36"/>
      <c r="E249" s="36"/>
      <c r="F249" s="36" t="s">
        <v>261</v>
      </c>
      <c r="G249" s="36"/>
      <c r="H249" s="36"/>
      <c r="I249" s="36"/>
      <c r="J249" s="36"/>
      <c r="K249" s="36"/>
      <c r="L249" s="36"/>
      <c r="M249" s="36"/>
      <c r="N249" s="36"/>
      <c r="O249" s="36"/>
      <c r="P249" s="36"/>
      <c r="Q249" s="36"/>
      <c r="R249" s="36"/>
      <c r="S249" s="36"/>
      <c r="T249" s="36"/>
      <c r="U249" s="36"/>
      <c r="V249" s="36"/>
      <c r="W249" s="36"/>
      <c r="X249" s="36"/>
      <c r="Y249" s="36"/>
      <c r="Z249" s="36"/>
      <c r="AA249" s="36"/>
    </row>
    <row r="250" spans="1:27" ht="15.6">
      <c r="A250" s="36"/>
      <c r="B250" s="105">
        <v>6243990</v>
      </c>
      <c r="C250" s="36" t="s">
        <v>258</v>
      </c>
      <c r="D250" s="36"/>
      <c r="E250" s="36"/>
      <c r="F250" s="36" t="s">
        <v>259</v>
      </c>
      <c r="G250" s="36"/>
      <c r="H250" s="36"/>
      <c r="I250" s="36"/>
      <c r="J250" s="36"/>
      <c r="K250" s="36"/>
      <c r="L250" s="36"/>
      <c r="M250" s="36"/>
      <c r="N250" s="36"/>
      <c r="O250" s="36"/>
      <c r="P250" s="36"/>
      <c r="Q250" s="36"/>
      <c r="R250" s="36"/>
      <c r="S250" s="36"/>
      <c r="T250" s="36"/>
      <c r="U250" s="36"/>
      <c r="V250" s="36"/>
      <c r="W250" s="36"/>
      <c r="X250" s="36"/>
      <c r="Y250" s="36"/>
      <c r="Z250" s="36"/>
      <c r="AA250" s="36"/>
    </row>
    <row r="251" spans="1:27" ht="15.6">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spans="1:27" ht="15.6">
      <c r="A252" s="36"/>
      <c r="B252" s="36"/>
      <c r="C252" s="155" t="s">
        <v>262</v>
      </c>
      <c r="D252" s="155"/>
      <c r="E252" s="155"/>
      <c r="F252" s="155"/>
      <c r="G252" s="155"/>
      <c r="H252" s="155"/>
      <c r="I252" s="155"/>
      <c r="J252" s="155"/>
      <c r="K252" s="36"/>
      <c r="L252" s="36"/>
      <c r="M252" s="36"/>
      <c r="N252" s="36"/>
      <c r="O252" s="36"/>
      <c r="P252" s="36"/>
      <c r="Q252" s="36"/>
      <c r="R252" s="36"/>
      <c r="S252" s="36"/>
      <c r="T252" s="36"/>
      <c r="U252" s="36"/>
      <c r="V252" s="36"/>
      <c r="W252" s="36"/>
      <c r="X252" s="36"/>
      <c r="Y252" s="36"/>
      <c r="Z252" s="36"/>
      <c r="AA252" s="36"/>
    </row>
    <row r="253" spans="1:27" ht="15.6">
      <c r="A253" s="36"/>
      <c r="B253" s="36"/>
      <c r="C253" s="36"/>
      <c r="D253" s="36"/>
      <c r="E253" s="36"/>
      <c r="F253" s="36"/>
      <c r="G253" s="36"/>
      <c r="H253" s="36"/>
      <c r="I253" s="36"/>
      <c r="J253" s="36"/>
      <c r="K253" s="36"/>
      <c r="L253" s="36"/>
      <c r="M253" s="36"/>
      <c r="N253" s="36"/>
      <c r="O253" s="36"/>
      <c r="P253" s="36"/>
      <c r="Q253" s="36"/>
      <c r="R253" s="36"/>
      <c r="S253" s="36"/>
      <c r="U253" s="36"/>
      <c r="V253" s="36"/>
      <c r="W253" s="36"/>
      <c r="X253" s="36"/>
      <c r="Y253" s="36"/>
      <c r="Z253" s="36"/>
      <c r="AA253" s="36"/>
    </row>
    <row r="254" spans="1:27" ht="15.6">
      <c r="A254" s="36"/>
      <c r="B254" s="36"/>
      <c r="C254" s="36"/>
      <c r="D254" s="36"/>
      <c r="E254" s="36"/>
      <c r="F254" s="36"/>
      <c r="G254" s="36"/>
      <c r="H254" s="36"/>
      <c r="I254" s="36"/>
      <c r="J254" s="36"/>
      <c r="K254" s="36"/>
      <c r="L254" s="36"/>
      <c r="M254" s="36"/>
      <c r="N254" s="36"/>
      <c r="O254" s="36"/>
      <c r="P254" s="36"/>
      <c r="Q254" s="36"/>
      <c r="R254" s="36"/>
      <c r="S254" s="36"/>
      <c r="T254" s="82"/>
      <c r="U254" s="36"/>
      <c r="V254" s="36"/>
      <c r="W254" s="36"/>
      <c r="X254" s="36"/>
      <c r="Y254" s="36"/>
      <c r="Z254" s="36"/>
      <c r="AA254" s="36"/>
    </row>
    <row r="255" spans="1:27" ht="15.6">
      <c r="A255" s="36"/>
      <c r="B255" s="36"/>
      <c r="C255" s="36"/>
      <c r="D255" s="36"/>
      <c r="E255" s="36"/>
      <c r="F255" s="36"/>
      <c r="G255" s="36"/>
      <c r="H255" s="36"/>
      <c r="I255" s="36"/>
      <c r="J255" s="36"/>
      <c r="K255" s="36"/>
      <c r="L255" s="36"/>
      <c r="M255" s="36"/>
      <c r="N255" s="36"/>
      <c r="O255" s="36"/>
      <c r="P255" s="36"/>
      <c r="Q255" s="36"/>
      <c r="R255" s="36"/>
      <c r="S255" s="36"/>
      <c r="U255" s="36"/>
      <c r="V255" s="36"/>
      <c r="W255" s="36"/>
      <c r="X255" s="36"/>
      <c r="Y255" s="36"/>
      <c r="Z255" s="36"/>
      <c r="AA255" s="36"/>
    </row>
    <row r="256" spans="1:27" ht="169.8">
      <c r="A256" s="36"/>
      <c r="B256" s="76" t="s">
        <v>205</v>
      </c>
      <c r="C256" s="36"/>
      <c r="D256" s="36"/>
      <c r="E256" s="36"/>
      <c r="F256" s="36"/>
      <c r="G256" s="36"/>
      <c r="H256" s="36"/>
      <c r="I256" s="36"/>
      <c r="J256" s="36"/>
      <c r="K256" s="36"/>
      <c r="L256" s="36"/>
      <c r="M256" s="36"/>
      <c r="N256" s="36"/>
      <c r="O256" s="36"/>
      <c r="P256" s="36"/>
      <c r="Q256" s="36"/>
      <c r="R256" s="36"/>
      <c r="S256" s="36"/>
      <c r="U256" s="36"/>
      <c r="V256" s="36"/>
      <c r="W256" s="36"/>
      <c r="X256" s="36"/>
      <c r="Y256" s="36"/>
      <c r="Z256" s="36"/>
      <c r="AA256" s="36"/>
    </row>
    <row r="257" spans="1:27" ht="15.6">
      <c r="A257" s="36"/>
      <c r="C257" s="36"/>
      <c r="D257" s="35"/>
      <c r="E257" s="36"/>
      <c r="F257" s="36"/>
      <c r="G257" s="36"/>
      <c r="J257" s="36"/>
      <c r="K257" s="36"/>
      <c r="L257" s="36"/>
      <c r="M257" s="36"/>
      <c r="N257" s="36"/>
      <c r="O257" s="36"/>
      <c r="P257" s="36"/>
      <c r="Q257" s="36"/>
      <c r="R257" s="36"/>
      <c r="S257" s="36"/>
      <c r="U257" s="36"/>
      <c r="V257" s="36"/>
      <c r="W257" s="36"/>
      <c r="X257" s="36"/>
      <c r="Y257" s="36"/>
      <c r="Z257" s="36"/>
      <c r="AA257" s="36"/>
    </row>
    <row r="258" spans="1:27" ht="15.6">
      <c r="A258" s="36"/>
      <c r="B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spans="1:27" ht="15.6">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spans="1:27" ht="15.6">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spans="1:27" ht="15.6">
      <c r="A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spans="1:27" ht="15.6">
      <c r="A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spans="1:27" ht="15.6">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spans="1:27" ht="15.6">
      <c r="A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spans="1:27" ht="15.6">
      <c r="A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row>
    <row r="266" spans="1:27" ht="15.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row>
    <row r="267" spans="1:27" ht="15.6">
      <c r="A267" s="67"/>
      <c r="B267" s="108">
        <v>5.3</v>
      </c>
      <c r="C267" s="67"/>
      <c r="D267" s="108" t="s">
        <v>392</v>
      </c>
      <c r="E267" s="67"/>
      <c r="F267" s="67"/>
      <c r="G267" s="67"/>
      <c r="H267" s="67"/>
      <c r="I267" s="67"/>
      <c r="J267" s="67"/>
      <c r="K267" s="67"/>
      <c r="L267" s="67"/>
      <c r="M267" s="67"/>
      <c r="N267" s="36"/>
      <c r="O267" s="36"/>
      <c r="P267" s="36"/>
      <c r="Q267" s="36"/>
      <c r="R267" s="36"/>
      <c r="S267" s="36"/>
      <c r="T267" s="36"/>
      <c r="U267" s="36"/>
      <c r="V267" s="36"/>
      <c r="W267" s="36"/>
      <c r="X267" s="36"/>
      <c r="Y267" s="36"/>
      <c r="Z267" s="36"/>
      <c r="AA267" s="36"/>
    </row>
    <row r="268" spans="1:27" ht="15.6">
      <c r="A268" s="173"/>
      <c r="B268" s="180"/>
      <c r="C268" s="173"/>
      <c r="D268" s="180"/>
      <c r="E268" s="173"/>
      <c r="F268" s="173"/>
      <c r="G268" s="173"/>
      <c r="H268" s="173"/>
      <c r="I268" s="173"/>
      <c r="J268" s="173"/>
      <c r="K268" s="173"/>
      <c r="L268" s="173"/>
      <c r="M268" s="173"/>
      <c r="N268" s="36"/>
      <c r="O268" s="36"/>
      <c r="P268" s="36"/>
      <c r="Q268" s="36"/>
      <c r="R268" s="36"/>
      <c r="S268" s="36"/>
      <c r="T268" s="36"/>
      <c r="U268" s="36"/>
      <c r="V268" s="36"/>
      <c r="W268" s="36"/>
      <c r="X268" s="36"/>
      <c r="Y268" s="36"/>
      <c r="Z268" s="36"/>
      <c r="AA268" s="36"/>
    </row>
    <row r="269" spans="1:27" ht="15.6">
      <c r="A269" s="175"/>
      <c r="B269" s="176" t="s">
        <v>370</v>
      </c>
      <c r="C269" s="175"/>
      <c r="D269" s="175" t="s">
        <v>394</v>
      </c>
      <c r="E269" s="175"/>
      <c r="F269" s="175"/>
      <c r="G269" s="175"/>
      <c r="H269" s="175"/>
      <c r="I269" s="175"/>
      <c r="J269" s="175"/>
      <c r="K269" s="175"/>
      <c r="L269" s="175"/>
      <c r="M269" s="175"/>
      <c r="N269" s="36"/>
      <c r="O269" s="36"/>
      <c r="P269" s="36"/>
      <c r="Q269" s="36"/>
      <c r="R269" s="36"/>
      <c r="S269" s="36"/>
      <c r="T269" s="36"/>
      <c r="U269" s="36"/>
      <c r="V269" s="36"/>
      <c r="W269" s="36"/>
      <c r="X269" s="36"/>
      <c r="Y269" s="36"/>
      <c r="Z269" s="36"/>
      <c r="AA269" s="36"/>
    </row>
    <row r="270" spans="1:27" ht="15.6">
      <c r="A270" s="175"/>
      <c r="B270" s="175"/>
      <c r="C270" s="175"/>
      <c r="D270" s="175" t="s">
        <v>393</v>
      </c>
      <c r="E270" s="175"/>
      <c r="F270" s="175"/>
      <c r="G270" s="175"/>
      <c r="H270" s="175"/>
      <c r="I270" s="175"/>
      <c r="J270" s="175"/>
      <c r="K270" s="175"/>
      <c r="L270" s="175"/>
      <c r="M270" s="175"/>
      <c r="N270" s="36"/>
      <c r="O270" s="36"/>
      <c r="P270" s="36"/>
      <c r="Q270" s="36"/>
      <c r="R270" s="36"/>
      <c r="S270" s="36"/>
      <c r="T270" s="36"/>
      <c r="U270" s="36"/>
      <c r="V270" s="36"/>
      <c r="W270" s="36"/>
      <c r="X270" s="36"/>
      <c r="Y270" s="36"/>
      <c r="Z270" s="36"/>
      <c r="AA270" s="36"/>
    </row>
    <row r="271" spans="1:27" ht="15.6">
      <c r="A271" s="175"/>
      <c r="B271" s="175"/>
      <c r="C271" s="175"/>
      <c r="D271" s="175" t="s">
        <v>395</v>
      </c>
      <c r="E271" s="175"/>
      <c r="F271" s="175"/>
      <c r="G271" s="175"/>
      <c r="H271" s="175"/>
      <c r="I271" s="175"/>
      <c r="J271" s="175"/>
      <c r="K271" s="175"/>
      <c r="L271" s="175"/>
      <c r="M271" s="175"/>
      <c r="N271" s="36"/>
      <c r="O271" s="36"/>
      <c r="P271" s="36"/>
      <c r="Q271" s="36"/>
      <c r="R271" s="36"/>
      <c r="S271" s="36"/>
      <c r="T271" s="36"/>
      <c r="U271" s="36"/>
      <c r="V271" s="36"/>
      <c r="W271" s="36"/>
      <c r="X271" s="36"/>
      <c r="Y271" s="36"/>
      <c r="Z271" s="36"/>
      <c r="AA271" s="36"/>
    </row>
    <row r="272" spans="1:27" ht="15.6">
      <c r="A272" s="175"/>
      <c r="B272" s="178"/>
      <c r="C272" s="175"/>
      <c r="D272" s="182" t="s">
        <v>396</v>
      </c>
      <c r="E272" s="175"/>
      <c r="F272" s="175"/>
      <c r="G272" s="175"/>
      <c r="H272" s="175"/>
      <c r="I272" s="175"/>
      <c r="J272" s="175"/>
      <c r="K272" s="175"/>
      <c r="L272" s="175"/>
      <c r="M272" s="175"/>
      <c r="N272" s="36"/>
      <c r="O272" s="36"/>
      <c r="P272" s="36"/>
      <c r="Q272" s="36"/>
      <c r="R272" s="36"/>
      <c r="S272" s="36"/>
      <c r="T272" s="36"/>
      <c r="U272" s="36"/>
      <c r="V272" s="36"/>
      <c r="W272" s="36"/>
      <c r="X272" s="36"/>
      <c r="Y272" s="36"/>
      <c r="Z272" s="36"/>
      <c r="AA272" s="36"/>
    </row>
    <row r="273" spans="1:27" ht="15.6">
      <c r="A273" s="175"/>
      <c r="B273" s="178"/>
      <c r="C273" s="175"/>
      <c r="D273" s="182"/>
      <c r="E273" s="175"/>
      <c r="F273" s="175"/>
      <c r="G273" s="175"/>
      <c r="H273" s="175"/>
      <c r="I273" s="175"/>
      <c r="J273" s="175"/>
      <c r="K273" s="175"/>
      <c r="L273" s="175"/>
      <c r="M273" s="175"/>
      <c r="N273" s="36"/>
      <c r="O273" s="36"/>
      <c r="P273" s="36"/>
      <c r="Q273" s="36"/>
      <c r="R273" s="36"/>
      <c r="S273" s="36"/>
      <c r="T273" s="36"/>
      <c r="U273" s="36"/>
      <c r="V273" s="36"/>
      <c r="W273" s="36"/>
      <c r="X273" s="36"/>
      <c r="Y273" s="36"/>
      <c r="Z273" s="36"/>
      <c r="AA273" s="36"/>
    </row>
    <row r="274" spans="1:27" ht="15.6">
      <c r="A274" s="175"/>
      <c r="B274" s="178"/>
      <c r="C274" s="175"/>
      <c r="D274" s="182" t="s">
        <v>397</v>
      </c>
      <c r="E274" s="175"/>
      <c r="F274" s="175"/>
      <c r="G274" s="175"/>
      <c r="H274" s="175"/>
      <c r="I274" s="175"/>
      <c r="J274" s="175"/>
      <c r="K274" s="175"/>
      <c r="L274" s="175"/>
      <c r="M274" s="175"/>
      <c r="N274" s="36"/>
      <c r="O274" s="36"/>
      <c r="P274" s="36"/>
      <c r="Q274" s="36"/>
      <c r="R274" s="36"/>
      <c r="S274" s="36"/>
      <c r="T274" s="36"/>
      <c r="U274" s="36"/>
      <c r="V274" s="36"/>
      <c r="W274" s="36"/>
      <c r="X274" s="36"/>
      <c r="Y274" s="36"/>
      <c r="Z274" s="36"/>
      <c r="AA274" s="36"/>
    </row>
    <row r="275" spans="1:27" ht="15.6">
      <c r="A275" s="175"/>
      <c r="B275" s="178"/>
      <c r="C275" s="175"/>
      <c r="D275" s="182" t="s">
        <v>398</v>
      </c>
      <c r="E275" s="175"/>
      <c r="F275" s="175"/>
      <c r="G275" s="175"/>
      <c r="H275" s="175"/>
      <c r="I275" s="175"/>
      <c r="J275" s="175"/>
      <c r="K275" s="175"/>
      <c r="L275" s="175"/>
      <c r="M275" s="175"/>
      <c r="N275" s="36"/>
      <c r="O275" s="36"/>
      <c r="P275" s="36"/>
      <c r="Q275" s="36"/>
      <c r="R275" s="36"/>
      <c r="S275" s="36"/>
      <c r="T275" s="36"/>
      <c r="U275" s="36"/>
      <c r="V275" s="36"/>
      <c r="W275" s="36"/>
      <c r="X275" s="36"/>
      <c r="Y275" s="36"/>
      <c r="Z275" s="36"/>
      <c r="AA275" s="36"/>
    </row>
    <row r="276" spans="1:27" ht="15.6">
      <c r="A276" s="175"/>
      <c r="B276" s="178"/>
      <c r="C276" s="175"/>
      <c r="D276" s="175" t="s">
        <v>399</v>
      </c>
      <c r="E276" s="175"/>
      <c r="F276" s="175"/>
      <c r="G276" s="175"/>
      <c r="H276" s="175"/>
      <c r="I276" s="175"/>
      <c r="J276" s="175"/>
      <c r="K276" s="175"/>
      <c r="L276" s="175"/>
      <c r="M276" s="175"/>
      <c r="N276" s="36"/>
      <c r="O276" s="36"/>
      <c r="P276" s="36"/>
      <c r="Q276" s="36"/>
      <c r="R276" s="36"/>
      <c r="S276" s="36"/>
      <c r="T276" s="36"/>
      <c r="U276" s="36"/>
      <c r="V276" s="36"/>
      <c r="W276" s="36"/>
      <c r="X276" s="36"/>
      <c r="Y276" s="36"/>
      <c r="Z276" s="36"/>
      <c r="AA276" s="36"/>
    </row>
    <row r="277" spans="1:27" ht="15.6">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row>
    <row r="278" spans="1:27" ht="15.6">
      <c r="A278" s="36"/>
      <c r="B278" s="71" t="s">
        <v>273</v>
      </c>
      <c r="C278" s="71" t="s">
        <v>271</v>
      </c>
      <c r="E278" s="36"/>
      <c r="F278" s="110" t="s">
        <v>275</v>
      </c>
      <c r="G278" s="36"/>
      <c r="H278" s="36"/>
      <c r="I278" s="36"/>
      <c r="J278" s="36"/>
      <c r="K278" s="36"/>
      <c r="L278" s="36"/>
      <c r="M278" s="36"/>
      <c r="N278" s="36"/>
      <c r="O278" s="36"/>
      <c r="P278" s="36"/>
      <c r="Q278" s="36"/>
      <c r="R278" s="36"/>
      <c r="S278" s="36"/>
      <c r="T278" s="36"/>
      <c r="U278" s="36"/>
      <c r="V278" s="36"/>
      <c r="W278" s="36"/>
      <c r="X278" s="36"/>
      <c r="Y278" s="36"/>
      <c r="Z278" s="36"/>
      <c r="AA278" s="36"/>
    </row>
    <row r="279" spans="1:27" ht="15.6">
      <c r="A279" s="36"/>
      <c r="B279" s="71" t="s">
        <v>272</v>
      </c>
      <c r="C279" s="71" t="s">
        <v>272</v>
      </c>
      <c r="D279" s="71" t="s">
        <v>270</v>
      </c>
      <c r="E279" s="36"/>
      <c r="F279" s="110" t="s">
        <v>274</v>
      </c>
      <c r="G279" s="36"/>
      <c r="H279" s="110" t="s">
        <v>276</v>
      </c>
      <c r="I279" s="36"/>
      <c r="J279" s="36"/>
      <c r="K279" s="36"/>
      <c r="L279" s="36"/>
      <c r="M279" s="36"/>
      <c r="N279" s="36"/>
      <c r="O279" s="36"/>
      <c r="P279" s="36"/>
      <c r="Q279" s="36"/>
      <c r="R279" s="36"/>
      <c r="S279" s="36"/>
      <c r="T279" s="36"/>
      <c r="U279" s="36"/>
      <c r="V279" s="36"/>
      <c r="W279" s="36"/>
      <c r="X279" s="36"/>
      <c r="Y279" s="36"/>
      <c r="Z279" s="36"/>
      <c r="AA279" s="36"/>
    </row>
    <row r="280" spans="1:27" ht="15.6">
      <c r="A280" s="36"/>
      <c r="B280" s="109">
        <v>7566800</v>
      </c>
      <c r="C280" s="109">
        <v>29265</v>
      </c>
      <c r="D280" t="s">
        <v>266</v>
      </c>
      <c r="E280" s="36"/>
      <c r="F280" s="111">
        <f>(C280/(C280+B280))</f>
        <v>3.8526526563424615E-3</v>
      </c>
      <c r="G280" s="36"/>
      <c r="H280" s="36" t="s">
        <v>277</v>
      </c>
      <c r="I280" s="36"/>
      <c r="J280" s="36"/>
      <c r="K280" s="36"/>
      <c r="L280" s="36"/>
      <c r="M280" s="36"/>
      <c r="N280" s="36"/>
      <c r="O280" s="36"/>
      <c r="P280" s="36"/>
      <c r="Q280" s="36"/>
      <c r="R280" s="36"/>
      <c r="S280" s="36"/>
      <c r="T280" s="36"/>
      <c r="U280" s="36"/>
      <c r="V280" s="36"/>
      <c r="W280" s="36"/>
      <c r="X280" s="36"/>
      <c r="Y280" s="36"/>
      <c r="Z280" s="36"/>
      <c r="AA280" s="36"/>
    </row>
    <row r="281" spans="1:27" ht="15.6">
      <c r="A281" s="36"/>
      <c r="B281" s="109">
        <v>5703253</v>
      </c>
      <c r="C281" s="109">
        <v>18639</v>
      </c>
      <c r="D281" t="s">
        <v>267</v>
      </c>
      <c r="E281" s="36"/>
      <c r="F281" s="111">
        <f t="shared" ref="F281:F283" si="2">(C281/(C281+B281))</f>
        <v>3.2574889564500691E-3</v>
      </c>
      <c r="G281" s="36"/>
      <c r="H281" s="36" t="s">
        <v>278</v>
      </c>
      <c r="I281" s="36"/>
      <c r="J281" s="36"/>
      <c r="K281" s="36"/>
      <c r="L281" s="36"/>
      <c r="M281" s="36"/>
      <c r="N281" s="36"/>
      <c r="O281" s="36"/>
      <c r="P281" s="36"/>
      <c r="Q281" s="36"/>
      <c r="R281" s="36"/>
      <c r="S281" s="36"/>
      <c r="T281" s="36"/>
      <c r="U281" s="36"/>
      <c r="V281" s="36"/>
      <c r="W281" s="36"/>
      <c r="X281" s="36"/>
      <c r="Y281" s="36"/>
      <c r="Z281" s="36"/>
      <c r="AA281" s="36"/>
    </row>
    <row r="282" spans="1:27" ht="15.6">
      <c r="A282" s="36"/>
      <c r="B282" s="109">
        <v>10749519</v>
      </c>
      <c r="C282" s="109">
        <v>40577</v>
      </c>
      <c r="D282" t="s">
        <v>268</v>
      </c>
      <c r="E282" s="36"/>
      <c r="F282" s="111">
        <f t="shared" si="2"/>
        <v>3.7605782191372531E-3</v>
      </c>
      <c r="G282" s="36"/>
      <c r="H282" s="36" t="s">
        <v>279</v>
      </c>
      <c r="I282" s="36"/>
      <c r="J282" s="36"/>
      <c r="K282" s="36"/>
      <c r="L282" s="36"/>
      <c r="M282" s="36"/>
      <c r="N282" s="36"/>
      <c r="O282" s="36"/>
      <c r="P282" s="36"/>
      <c r="Q282" s="36"/>
      <c r="R282" s="36"/>
      <c r="S282" s="36"/>
      <c r="T282" s="84"/>
      <c r="U282" s="36"/>
      <c r="V282" s="36"/>
      <c r="W282" s="36"/>
      <c r="X282" s="36"/>
      <c r="Y282" s="36"/>
      <c r="Z282" s="36"/>
      <c r="AA282" s="36"/>
    </row>
    <row r="283" spans="1:27" ht="15.6">
      <c r="A283" s="36"/>
      <c r="B283" s="109">
        <v>8260441</v>
      </c>
      <c r="C283" s="109">
        <v>31238</v>
      </c>
      <c r="D283" t="s">
        <v>269</v>
      </c>
      <c r="E283" s="36"/>
      <c r="F283" s="111">
        <f t="shared" si="2"/>
        <v>3.7673913811665889E-3</v>
      </c>
      <c r="G283" s="36"/>
      <c r="H283" s="36" t="s">
        <v>280</v>
      </c>
      <c r="I283" s="36"/>
      <c r="J283" s="36"/>
      <c r="K283" s="36"/>
      <c r="L283" s="36"/>
      <c r="M283" s="36"/>
      <c r="N283" s="36"/>
      <c r="O283" s="36"/>
      <c r="P283" s="36"/>
      <c r="Q283" s="36"/>
      <c r="R283" s="36"/>
      <c r="S283" s="36"/>
      <c r="T283" s="84"/>
      <c r="U283" s="36"/>
      <c r="V283" s="36"/>
      <c r="W283" s="36"/>
      <c r="X283" s="36"/>
      <c r="Y283" s="36"/>
      <c r="Z283" s="36"/>
      <c r="AA283" s="36"/>
    </row>
    <row r="284" spans="1:27" ht="15.6">
      <c r="A284" s="36"/>
      <c r="B284" s="36"/>
      <c r="C284" s="36"/>
      <c r="D284" s="36"/>
      <c r="E284" s="36"/>
      <c r="F284" s="36"/>
      <c r="G284" s="36"/>
      <c r="H284" s="36"/>
      <c r="I284" s="36"/>
      <c r="J284" s="36"/>
      <c r="K284" s="36"/>
      <c r="L284" s="36"/>
      <c r="M284" s="36"/>
      <c r="N284" s="36"/>
      <c r="O284" s="36"/>
      <c r="P284" s="36"/>
      <c r="Q284" s="36"/>
      <c r="R284" s="36"/>
      <c r="S284" s="36"/>
      <c r="T284" s="84"/>
      <c r="U284" s="36"/>
      <c r="V284" s="36"/>
      <c r="W284" s="36"/>
      <c r="X284" s="36"/>
      <c r="Y284" s="36"/>
      <c r="Z284" s="36"/>
      <c r="AA284" s="36"/>
    </row>
    <row r="285" spans="1:27" ht="15.6">
      <c r="A285" s="36"/>
      <c r="B285" s="36"/>
      <c r="F285" s="36"/>
      <c r="G285" s="36"/>
      <c r="H285" s="36"/>
      <c r="I285" s="36"/>
      <c r="J285" s="36"/>
      <c r="K285" s="36"/>
      <c r="L285" s="36"/>
      <c r="M285" s="36"/>
      <c r="N285" s="36"/>
      <c r="O285" s="36"/>
      <c r="P285" s="36"/>
      <c r="Q285" s="36"/>
      <c r="R285" s="36"/>
      <c r="S285" s="36"/>
      <c r="T285" s="36"/>
      <c r="U285" s="36"/>
      <c r="V285" s="36"/>
      <c r="W285" s="36"/>
      <c r="X285" s="36"/>
      <c r="Y285" s="36"/>
      <c r="Z285" s="36"/>
      <c r="AA285" s="36"/>
    </row>
    <row r="286" spans="1:27" ht="15.6">
      <c r="A286" s="67"/>
      <c r="B286" s="108">
        <v>5.4</v>
      </c>
      <c r="C286" s="67"/>
      <c r="D286" s="108" t="s">
        <v>400</v>
      </c>
      <c r="E286" s="67"/>
      <c r="F286" s="67"/>
      <c r="G286" s="67"/>
      <c r="H286" s="67"/>
      <c r="I286" s="67"/>
      <c r="J286" s="67"/>
      <c r="K286" s="67"/>
      <c r="L286" s="67"/>
      <c r="M286" s="67"/>
      <c r="N286" s="36"/>
      <c r="O286" s="36"/>
      <c r="P286" s="36"/>
      <c r="Q286" s="36"/>
      <c r="R286" s="36"/>
      <c r="S286" s="36"/>
      <c r="T286" s="36"/>
      <c r="U286" s="36"/>
      <c r="V286" s="36"/>
      <c r="W286" s="36"/>
      <c r="X286" s="36"/>
      <c r="Y286" s="36"/>
      <c r="Z286" s="36"/>
      <c r="AA286" s="36"/>
    </row>
    <row r="287" spans="1:27" ht="15.6">
      <c r="A287" s="173"/>
      <c r="B287" s="180"/>
      <c r="C287" s="173"/>
      <c r="D287" s="180"/>
      <c r="E287" s="173"/>
      <c r="F287" s="173"/>
      <c r="G287" s="173"/>
      <c r="H287" s="173"/>
      <c r="I287" s="173"/>
      <c r="J287" s="173"/>
      <c r="K287" s="173"/>
      <c r="L287" s="173"/>
      <c r="M287" s="173"/>
      <c r="N287" s="36"/>
      <c r="O287" s="36"/>
      <c r="P287" s="36"/>
      <c r="Q287" s="36"/>
      <c r="R287" s="36"/>
      <c r="S287" s="36"/>
      <c r="T287" s="36"/>
      <c r="U287" s="36"/>
      <c r="V287" s="36"/>
      <c r="W287" s="36"/>
      <c r="X287" s="36"/>
      <c r="Y287" s="36"/>
      <c r="Z287" s="36"/>
      <c r="AA287" s="36"/>
    </row>
    <row r="288" spans="1:27" ht="15.6">
      <c r="A288" s="175"/>
      <c r="B288" s="176" t="s">
        <v>370</v>
      </c>
      <c r="C288" s="175"/>
      <c r="D288" s="175" t="s">
        <v>313</v>
      </c>
      <c r="E288" s="175"/>
      <c r="F288" s="175"/>
      <c r="G288" s="175"/>
      <c r="H288" s="175"/>
      <c r="I288" s="175"/>
      <c r="J288" s="175"/>
      <c r="K288" s="175"/>
      <c r="L288" s="175"/>
      <c r="M288" s="175"/>
      <c r="N288" s="36"/>
      <c r="O288" s="36"/>
      <c r="P288" s="36"/>
      <c r="Q288" s="36"/>
      <c r="R288" s="36"/>
      <c r="S288" s="36"/>
      <c r="T288" s="36"/>
      <c r="U288" s="36"/>
      <c r="V288" s="36"/>
      <c r="W288" s="36"/>
      <c r="X288" s="36"/>
      <c r="Y288" s="36"/>
      <c r="Z288" s="36"/>
      <c r="AA288" s="36"/>
    </row>
    <row r="289" spans="1:27" ht="15.6">
      <c r="A289" s="175"/>
      <c r="B289" s="175"/>
      <c r="C289" s="175"/>
      <c r="D289" s="175"/>
      <c r="E289" s="175"/>
      <c r="F289" s="175"/>
      <c r="G289" s="175"/>
      <c r="H289" s="175"/>
      <c r="I289" s="175"/>
      <c r="J289" s="175"/>
      <c r="K289" s="175"/>
      <c r="L289" s="175"/>
      <c r="M289" s="175"/>
      <c r="N289" s="36"/>
      <c r="O289" s="36"/>
      <c r="P289" s="36"/>
      <c r="Q289" s="36"/>
      <c r="R289" s="36"/>
      <c r="S289" s="36"/>
      <c r="T289" s="36"/>
      <c r="U289" s="36"/>
      <c r="V289" s="36"/>
      <c r="W289" s="36"/>
      <c r="X289" s="36"/>
      <c r="Y289" s="36"/>
      <c r="Z289" s="36"/>
      <c r="AA289" s="36"/>
    </row>
    <row r="290" spans="1:27" ht="15.6">
      <c r="A290" s="175"/>
      <c r="B290" s="175"/>
      <c r="C290" s="175"/>
      <c r="D290" s="175" t="s">
        <v>401</v>
      </c>
      <c r="E290" s="175"/>
      <c r="F290" s="175"/>
      <c r="G290" s="175"/>
      <c r="H290" s="175"/>
      <c r="I290" s="175"/>
      <c r="J290" s="175"/>
      <c r="K290" s="175"/>
      <c r="L290" s="175"/>
      <c r="M290" s="175"/>
      <c r="N290" s="36"/>
      <c r="O290" s="36"/>
      <c r="P290" s="36"/>
      <c r="Q290" s="36"/>
      <c r="R290" s="36"/>
      <c r="S290" s="36"/>
      <c r="T290" s="36"/>
      <c r="U290" s="36"/>
      <c r="V290" s="36"/>
      <c r="W290" s="36"/>
      <c r="X290" s="36"/>
      <c r="Y290" s="36"/>
      <c r="Z290" s="36"/>
      <c r="AA290" s="36"/>
    </row>
    <row r="291" spans="1:27" ht="15.6">
      <c r="A291" s="175"/>
      <c r="B291" s="175"/>
      <c r="C291" s="179"/>
      <c r="D291" s="179" t="s">
        <v>402</v>
      </c>
      <c r="E291" s="179"/>
      <c r="F291" s="175"/>
      <c r="G291" s="175"/>
      <c r="H291" s="175"/>
      <c r="I291" s="175"/>
      <c r="J291" s="175"/>
      <c r="K291" s="175"/>
      <c r="L291" s="175"/>
      <c r="M291" s="175"/>
      <c r="N291" s="36"/>
      <c r="O291" s="36"/>
      <c r="P291" s="36"/>
      <c r="Q291" s="36"/>
      <c r="R291" s="36"/>
      <c r="S291" s="36"/>
      <c r="T291" s="36"/>
      <c r="U291" s="36"/>
      <c r="V291" s="36"/>
      <c r="W291" s="36"/>
      <c r="X291" s="36"/>
      <c r="Y291" s="36"/>
      <c r="Z291" s="36"/>
      <c r="AA291" s="36"/>
    </row>
    <row r="292" spans="1:27" ht="15.6">
      <c r="N292" s="36"/>
      <c r="O292" s="36"/>
      <c r="P292" s="36"/>
      <c r="Q292" s="36"/>
      <c r="R292" s="36"/>
      <c r="S292" s="36"/>
      <c r="T292" s="36"/>
      <c r="U292" s="36"/>
      <c r="V292" s="36"/>
      <c r="W292" s="36"/>
      <c r="X292" s="36"/>
      <c r="Y292" s="36"/>
      <c r="Z292" s="36"/>
      <c r="AA292" s="36"/>
    </row>
    <row r="293" spans="1:27" ht="15.6">
      <c r="A293" s="36"/>
      <c r="E293" s="71" t="s">
        <v>86</v>
      </c>
      <c r="F293" s="158" t="s">
        <v>306</v>
      </c>
      <c r="G293" s="158"/>
      <c r="H293" s="36"/>
      <c r="I293" s="36"/>
      <c r="J293" s="36"/>
      <c r="K293" s="36"/>
      <c r="L293" s="36"/>
      <c r="M293" s="36"/>
      <c r="N293" s="36"/>
      <c r="O293" s="36"/>
      <c r="P293" s="36"/>
      <c r="Q293" s="36"/>
      <c r="R293" s="36"/>
      <c r="S293" s="36"/>
      <c r="T293" s="36"/>
      <c r="U293" s="36"/>
      <c r="V293" s="36"/>
      <c r="W293" s="36"/>
      <c r="X293" s="36"/>
      <c r="Y293" s="36"/>
      <c r="Z293" s="36"/>
      <c r="AA293" s="36"/>
    </row>
    <row r="294" spans="1:27" ht="15.6">
      <c r="A294" s="36"/>
      <c r="B294" s="36"/>
      <c r="C294" s="36"/>
      <c r="D294" s="36"/>
      <c r="E294" s="71" t="s">
        <v>304</v>
      </c>
      <c r="F294" s="158" t="s">
        <v>307</v>
      </c>
      <c r="G294" s="158"/>
      <c r="H294" s="36"/>
      <c r="I294" s="36"/>
      <c r="J294" s="36"/>
      <c r="K294" s="36"/>
      <c r="L294" s="36"/>
      <c r="M294" s="36"/>
      <c r="N294" s="36"/>
      <c r="O294" s="36"/>
      <c r="P294" s="36"/>
      <c r="Q294" s="36"/>
      <c r="R294" s="36"/>
      <c r="S294" s="36"/>
      <c r="T294" s="36"/>
      <c r="U294" s="36"/>
      <c r="V294" s="36"/>
      <c r="W294" s="36"/>
      <c r="X294" s="36"/>
      <c r="Y294" s="36"/>
      <c r="Z294" s="36"/>
      <c r="AA294" s="36"/>
    </row>
    <row r="295" spans="1:27" ht="15.6">
      <c r="A295" s="36"/>
      <c r="B295" s="43" t="s">
        <v>303</v>
      </c>
      <c r="D295" s="36"/>
      <c r="E295" s="71" t="s">
        <v>305</v>
      </c>
      <c r="F295" s="158" t="s">
        <v>308</v>
      </c>
      <c r="G295" s="158"/>
      <c r="H295" s="161" t="s">
        <v>77</v>
      </c>
      <c r="I295" s="161"/>
      <c r="J295" s="126" t="s">
        <v>312</v>
      </c>
      <c r="K295" s="36"/>
      <c r="L295" s="36"/>
      <c r="M295" s="36"/>
      <c r="N295" s="36"/>
      <c r="O295" s="36"/>
      <c r="P295" s="36"/>
      <c r="Q295" s="36"/>
      <c r="R295" s="36"/>
      <c r="S295" s="36"/>
      <c r="T295" s="36"/>
      <c r="U295" s="36"/>
      <c r="V295" s="36"/>
      <c r="W295" s="36"/>
      <c r="X295" s="36"/>
      <c r="Y295" s="36"/>
      <c r="Z295" s="36"/>
      <c r="AA295" s="36"/>
    </row>
    <row r="296" spans="1:27" ht="15.6">
      <c r="A296" s="36"/>
      <c r="B296" s="37" t="s">
        <v>285</v>
      </c>
      <c r="D296" s="36"/>
      <c r="E296" s="138">
        <v>7.8010139400211198</v>
      </c>
      <c r="G296" s="113">
        <v>9.8745048360367793</v>
      </c>
      <c r="H296" s="160">
        <v>2644831</v>
      </c>
      <c r="I296" s="160"/>
      <c r="J296" s="129">
        <v>8.5428221545004637E-2</v>
      </c>
      <c r="K296" s="36"/>
      <c r="L296" s="36"/>
      <c r="O296" s="36"/>
      <c r="P296" s="36"/>
      <c r="Q296" s="36"/>
      <c r="R296" s="36"/>
      <c r="S296" s="36"/>
      <c r="T296" s="36"/>
      <c r="U296" s="36"/>
      <c r="V296" s="36"/>
      <c r="W296" s="36"/>
      <c r="X296" s="36"/>
      <c r="Y296" s="36"/>
      <c r="Z296" s="36"/>
      <c r="AA296" s="36"/>
    </row>
    <row r="297" spans="1:27" ht="15.6">
      <c r="A297" s="36"/>
      <c r="B297" s="37" t="s">
        <v>286</v>
      </c>
      <c r="D297" s="36"/>
      <c r="E297" s="138">
        <v>7.8006042624507099</v>
      </c>
      <c r="G297" s="113">
        <v>9.8695923439832693</v>
      </c>
      <c r="H297" s="160">
        <v>1480979</v>
      </c>
      <c r="I297" s="160"/>
      <c r="J297" s="129">
        <v>4.7835722628591176E-2</v>
      </c>
      <c r="K297" s="36"/>
      <c r="L297" s="36"/>
      <c r="O297" s="36"/>
      <c r="P297" s="36"/>
      <c r="Q297" s="36"/>
      <c r="R297" s="36"/>
      <c r="S297" s="36"/>
      <c r="T297" s="36"/>
      <c r="U297" s="36"/>
      <c r="V297" s="36"/>
      <c r="W297" s="36"/>
      <c r="X297" s="36"/>
      <c r="Y297" s="36"/>
      <c r="Z297" s="36"/>
      <c r="AA297" s="36"/>
    </row>
    <row r="298" spans="1:27" ht="15.6">
      <c r="A298" s="36"/>
      <c r="B298" s="37" t="s">
        <v>287</v>
      </c>
      <c r="D298" s="36"/>
      <c r="E298" s="138">
        <v>7.7902784610997102</v>
      </c>
      <c r="G298" s="113">
        <v>9.9701487336823007</v>
      </c>
      <c r="H298" s="160">
        <v>21740200</v>
      </c>
      <c r="I298" s="160"/>
      <c r="J298" s="129">
        <v>0.70220994159275574</v>
      </c>
      <c r="K298" s="36"/>
      <c r="L298" s="36"/>
      <c r="O298" s="36"/>
      <c r="P298" s="36"/>
      <c r="Q298" s="36"/>
      <c r="R298" s="36"/>
      <c r="S298" s="36"/>
      <c r="T298" s="36"/>
      <c r="U298" s="36"/>
      <c r="V298" s="36"/>
      <c r="W298" s="36"/>
      <c r="X298" s="36"/>
      <c r="Y298" s="36"/>
      <c r="Z298" s="36"/>
      <c r="AA298" s="36"/>
    </row>
    <row r="299" spans="1:27" ht="15.6">
      <c r="A299" s="36"/>
      <c r="B299" s="37" t="s">
        <v>288</v>
      </c>
      <c r="D299" s="36"/>
      <c r="E299" s="138">
        <v>7.78359703609003</v>
      </c>
      <c r="G299" s="113">
        <v>9.9685881142443797</v>
      </c>
      <c r="H299" s="160">
        <v>5093677</v>
      </c>
      <c r="I299" s="160"/>
      <c r="J299" s="129">
        <v>0.16452611423364844</v>
      </c>
      <c r="K299" s="36"/>
      <c r="L299" s="36"/>
      <c r="O299" s="36"/>
      <c r="P299" s="36"/>
      <c r="Q299" s="36"/>
      <c r="R299" s="36"/>
      <c r="S299" s="36"/>
      <c r="T299" s="36"/>
      <c r="U299" s="36"/>
      <c r="V299" s="36"/>
      <c r="W299" s="36"/>
      <c r="X299" s="36"/>
      <c r="Y299" s="36"/>
      <c r="Z299" s="36"/>
      <c r="AA299" s="36"/>
    </row>
    <row r="300" spans="1:27" ht="15.6">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row>
    <row r="301" spans="1:27" ht="15.6">
      <c r="A301" s="36"/>
      <c r="B301" s="36"/>
      <c r="C301" s="36"/>
      <c r="D301" s="36"/>
      <c r="E301" s="36"/>
      <c r="F301" s="36"/>
      <c r="G301" s="127" t="s">
        <v>310</v>
      </c>
      <c r="H301" s="36"/>
      <c r="I301" s="36"/>
      <c r="J301" s="36"/>
      <c r="K301" s="36"/>
      <c r="L301" s="36"/>
      <c r="M301" s="36"/>
      <c r="N301" s="36"/>
      <c r="O301" s="36"/>
      <c r="P301" s="36"/>
      <c r="Q301" s="36"/>
      <c r="R301" s="36"/>
      <c r="S301" s="36"/>
      <c r="T301" s="36"/>
      <c r="U301" s="36"/>
      <c r="V301" s="36"/>
      <c r="W301" s="36"/>
      <c r="X301" s="36"/>
      <c r="Y301" s="36"/>
      <c r="Z301" s="36"/>
      <c r="AA301" s="36"/>
    </row>
    <row r="302" spans="1:27" ht="15.6">
      <c r="A302" s="126" t="s">
        <v>309</v>
      </c>
      <c r="B302" s="90" t="s">
        <v>160</v>
      </c>
      <c r="C302" s="43" t="s">
        <v>303</v>
      </c>
      <c r="E302" s="36"/>
      <c r="G302" s="127" t="s">
        <v>311</v>
      </c>
      <c r="H302" s="126" t="s">
        <v>309</v>
      </c>
      <c r="I302" s="36"/>
      <c r="J302" s="36"/>
      <c r="K302" s="36"/>
      <c r="L302" s="36"/>
      <c r="M302" s="36"/>
      <c r="N302" s="36"/>
      <c r="O302" s="36"/>
      <c r="P302" s="36"/>
      <c r="Q302" s="36"/>
      <c r="R302" s="36"/>
      <c r="S302" s="36"/>
      <c r="T302" s="36"/>
      <c r="U302" s="36"/>
      <c r="V302" s="36"/>
      <c r="W302" s="36"/>
      <c r="X302" s="36"/>
      <c r="Y302" s="36"/>
      <c r="Z302" s="36"/>
      <c r="AA302" s="36"/>
    </row>
    <row r="303" spans="1:27" ht="15.6">
      <c r="A303" s="128">
        <v>8.5542523222723307E-2</v>
      </c>
      <c r="B303" s="125">
        <v>20632363.5</v>
      </c>
      <c r="C303" s="37" t="s">
        <v>285</v>
      </c>
      <c r="E303" s="36"/>
      <c r="G303" s="117">
        <v>13831</v>
      </c>
      <c r="H303" s="128">
        <v>8.5045286568981318E-2</v>
      </c>
      <c r="I303" s="36"/>
      <c r="J303" s="36"/>
      <c r="K303" s="36"/>
      <c r="L303" s="36"/>
      <c r="M303" s="36"/>
      <c r="N303" s="36"/>
      <c r="O303" s="36"/>
      <c r="P303" s="36"/>
      <c r="Q303" s="36"/>
      <c r="R303" s="36"/>
      <c r="S303" s="36"/>
      <c r="T303" s="36"/>
      <c r="U303" s="36"/>
      <c r="V303" s="36"/>
      <c r="W303" s="36"/>
      <c r="X303" s="36"/>
      <c r="Y303" s="36"/>
      <c r="Z303" s="36"/>
      <c r="AA303" s="36"/>
    </row>
    <row r="304" spans="1:27" ht="15.6">
      <c r="A304" s="128">
        <v>4.7897210608129466E-2</v>
      </c>
      <c r="B304" s="125">
        <v>11552531.1</v>
      </c>
      <c r="C304" s="37" t="s">
        <v>286</v>
      </c>
      <c r="E304" s="36"/>
      <c r="G304" s="117">
        <v>7608</v>
      </c>
      <c r="H304" s="128">
        <v>4.678074905768273E-2</v>
      </c>
      <c r="I304" s="36"/>
      <c r="J304" s="36"/>
      <c r="K304" s="36"/>
      <c r="L304" s="36"/>
      <c r="M304" s="36"/>
      <c r="N304" s="36"/>
      <c r="O304" s="36"/>
      <c r="P304" s="36"/>
      <c r="Q304" s="36"/>
      <c r="R304" s="36"/>
      <c r="S304" s="36"/>
      <c r="T304" s="36"/>
      <c r="U304" s="36"/>
      <c r="V304" s="36"/>
      <c r="W304" s="36"/>
      <c r="X304" s="36"/>
      <c r="Y304" s="36"/>
      <c r="Z304" s="36"/>
      <c r="AA304" s="36"/>
    </row>
    <row r="305" spans="1:27" ht="15.6">
      <c r="A305" s="128">
        <v>0.70218183854473504</v>
      </c>
      <c r="B305" s="125">
        <v>169362211.80000001</v>
      </c>
      <c r="C305" s="37" t="s">
        <v>287</v>
      </c>
      <c r="E305" s="36"/>
      <c r="F305" s="159">
        <v>114296</v>
      </c>
      <c r="G305" s="159"/>
      <c r="H305" s="128">
        <v>0.70279344036499802</v>
      </c>
      <c r="I305" s="36"/>
      <c r="J305" s="36"/>
      <c r="K305" s="36"/>
      <c r="L305" s="36"/>
      <c r="M305" s="36"/>
      <c r="N305" s="36"/>
      <c r="O305" s="36"/>
      <c r="P305" s="36"/>
      <c r="Q305" s="36"/>
      <c r="R305" s="36"/>
      <c r="S305" s="36"/>
      <c r="T305" s="36"/>
      <c r="U305" s="36"/>
      <c r="V305" s="36"/>
      <c r="W305" s="36"/>
      <c r="X305" s="36"/>
      <c r="Y305" s="36"/>
      <c r="Z305" s="36"/>
      <c r="AA305" s="36"/>
    </row>
    <row r="306" spans="1:27" ht="15.6">
      <c r="A306" s="128">
        <v>0.1643784276244121</v>
      </c>
      <c r="B306" s="125">
        <v>39647129.200000003</v>
      </c>
      <c r="C306" s="37" t="s">
        <v>288</v>
      </c>
      <c r="E306" s="36"/>
      <c r="F306" s="36"/>
      <c r="G306" s="117">
        <v>26896</v>
      </c>
      <c r="H306" s="128">
        <v>0.16538052400833789</v>
      </c>
      <c r="I306" s="36"/>
      <c r="J306" s="36"/>
      <c r="K306" s="36"/>
      <c r="L306" s="36"/>
      <c r="M306" s="36"/>
      <c r="N306" s="36"/>
      <c r="O306" s="36"/>
      <c r="P306" s="36"/>
      <c r="Q306" s="36"/>
      <c r="R306" s="36"/>
      <c r="S306" s="36"/>
      <c r="T306" s="36"/>
      <c r="U306" s="36"/>
      <c r="V306" s="36"/>
      <c r="W306" s="36"/>
      <c r="X306" s="36"/>
      <c r="Y306" s="36"/>
      <c r="Z306" s="36"/>
      <c r="AA306" s="36"/>
    </row>
    <row r="307" spans="1:27" ht="15.6">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row>
    <row r="308" spans="1:27" ht="16.8">
      <c r="A308" s="36"/>
      <c r="B308" s="36"/>
      <c r="C308" s="36"/>
      <c r="D308" s="36"/>
      <c r="E308" s="36"/>
      <c r="F308" s="36"/>
      <c r="G308" s="36"/>
      <c r="H308" s="36"/>
      <c r="I308" s="36"/>
      <c r="J308" s="36"/>
      <c r="K308" s="36"/>
      <c r="L308" s="36"/>
      <c r="M308" s="36"/>
      <c r="N308" s="36"/>
      <c r="O308" s="36"/>
      <c r="P308" s="36"/>
      <c r="Q308" s="36"/>
      <c r="R308" s="36"/>
      <c r="S308" s="36"/>
      <c r="T308" s="36"/>
      <c r="U308" s="68"/>
      <c r="V308" s="69"/>
      <c r="W308" s="70"/>
      <c r="X308" s="36"/>
      <c r="Y308" s="36"/>
      <c r="Z308" s="36"/>
      <c r="AA308" s="36"/>
    </row>
    <row r="309" spans="1:27" ht="16.8">
      <c r="A309" s="67"/>
      <c r="B309" s="108">
        <v>5.5</v>
      </c>
      <c r="C309" s="67"/>
      <c r="D309" s="108" t="s">
        <v>403</v>
      </c>
      <c r="E309" s="67"/>
      <c r="F309" s="67"/>
      <c r="G309" s="67"/>
      <c r="H309" s="67"/>
      <c r="I309" s="67"/>
      <c r="J309" s="67"/>
      <c r="K309" s="67"/>
      <c r="L309" s="67"/>
      <c r="M309" s="67"/>
      <c r="N309" s="36"/>
      <c r="O309" s="36"/>
      <c r="P309" s="36"/>
      <c r="Q309" s="36"/>
      <c r="R309" s="36"/>
      <c r="S309" s="36"/>
      <c r="T309" s="36"/>
      <c r="U309" s="68"/>
      <c r="V309" s="69"/>
      <c r="W309" s="70"/>
      <c r="X309" s="36"/>
      <c r="Y309" s="36"/>
      <c r="Z309" s="36"/>
      <c r="AA309" s="36"/>
    </row>
    <row r="310" spans="1:27" ht="16.8">
      <c r="A310" s="67"/>
      <c r="B310" s="67"/>
      <c r="C310" s="67"/>
      <c r="D310" s="60" t="s">
        <v>404</v>
      </c>
      <c r="E310" s="67"/>
      <c r="F310" s="67"/>
      <c r="G310" s="67"/>
      <c r="H310" s="67"/>
      <c r="I310" s="67"/>
      <c r="J310" s="67"/>
      <c r="K310" s="67"/>
      <c r="L310" s="67"/>
      <c r="M310" s="67"/>
      <c r="N310" s="36"/>
      <c r="O310" s="36"/>
      <c r="P310" s="36"/>
      <c r="Q310" s="36"/>
      <c r="R310" s="36"/>
      <c r="S310" s="36"/>
      <c r="T310" s="36"/>
      <c r="U310" s="68"/>
      <c r="V310" s="69"/>
      <c r="W310" s="70"/>
      <c r="X310" s="36"/>
      <c r="Y310" s="36"/>
      <c r="Z310" s="36"/>
      <c r="AA310" s="36"/>
    </row>
    <row r="311" spans="1:27" ht="16.8">
      <c r="A311" s="173"/>
      <c r="B311" s="173"/>
      <c r="C311" s="173"/>
      <c r="D311" s="174"/>
      <c r="E311" s="173"/>
      <c r="F311" s="173"/>
      <c r="G311" s="173"/>
      <c r="H311" s="173"/>
      <c r="I311" s="173"/>
      <c r="J311" s="173"/>
      <c r="K311" s="173"/>
      <c r="L311" s="173"/>
      <c r="M311" s="173"/>
      <c r="N311" s="36"/>
      <c r="O311" s="36"/>
      <c r="P311" s="36"/>
      <c r="Q311" s="36"/>
      <c r="R311" s="36"/>
      <c r="S311" s="36"/>
      <c r="T311" s="36"/>
      <c r="U311" s="68"/>
      <c r="V311" s="69"/>
      <c r="W311" s="70"/>
      <c r="X311" s="36"/>
      <c r="Y311" s="36"/>
      <c r="Z311" s="36"/>
      <c r="AA311" s="36"/>
    </row>
    <row r="312" spans="1:27" ht="16.8">
      <c r="A312" s="175"/>
      <c r="B312" s="176" t="s">
        <v>370</v>
      </c>
      <c r="C312" s="175"/>
      <c r="D312" s="175" t="s">
        <v>405</v>
      </c>
      <c r="E312" s="175"/>
      <c r="F312" s="175"/>
      <c r="G312" s="175"/>
      <c r="H312" s="175"/>
      <c r="I312" s="175"/>
      <c r="J312" s="175"/>
      <c r="K312" s="175"/>
      <c r="L312" s="175"/>
      <c r="M312" s="175"/>
      <c r="N312" s="36"/>
      <c r="O312" s="36"/>
      <c r="P312" s="36"/>
      <c r="Q312" s="36"/>
      <c r="R312" s="36"/>
      <c r="S312" s="36"/>
      <c r="T312" s="36"/>
      <c r="U312" s="68"/>
      <c r="V312" s="69"/>
      <c r="W312" s="70"/>
      <c r="X312" s="36"/>
      <c r="Y312" s="36"/>
      <c r="Z312" s="36"/>
      <c r="AA312" s="36"/>
    </row>
    <row r="313" spans="1:27" ht="16.8">
      <c r="A313" s="175"/>
      <c r="B313" s="175"/>
      <c r="C313" s="175"/>
      <c r="D313" s="175"/>
      <c r="E313" s="175"/>
      <c r="F313" s="175"/>
      <c r="G313" s="175"/>
      <c r="H313" s="175"/>
      <c r="I313" s="175"/>
      <c r="J313" s="175"/>
      <c r="K313" s="175"/>
      <c r="L313" s="175"/>
      <c r="M313" s="175"/>
      <c r="N313" s="36"/>
      <c r="O313" s="36"/>
      <c r="P313" s="36"/>
      <c r="Q313" s="36"/>
      <c r="R313" s="36"/>
      <c r="S313" s="36"/>
      <c r="T313" s="36"/>
      <c r="U313" s="68"/>
      <c r="V313" s="69"/>
      <c r="W313" s="70"/>
      <c r="X313" s="36"/>
      <c r="Y313" s="36"/>
      <c r="Z313" s="36"/>
      <c r="AA313" s="36"/>
    </row>
    <row r="314" spans="1:27" ht="16.8">
      <c r="A314" s="175"/>
      <c r="B314" s="175"/>
      <c r="C314" s="175"/>
      <c r="D314" s="175" t="s">
        <v>406</v>
      </c>
      <c r="E314" s="175"/>
      <c r="F314" s="175"/>
      <c r="G314" s="175"/>
      <c r="H314" s="175"/>
      <c r="I314" s="175"/>
      <c r="J314" s="175"/>
      <c r="K314" s="175"/>
      <c r="L314" s="175"/>
      <c r="M314" s="175"/>
      <c r="N314" s="36"/>
      <c r="O314" s="36"/>
      <c r="P314" s="36"/>
      <c r="Q314" s="36"/>
      <c r="R314" s="36"/>
      <c r="S314" s="36"/>
      <c r="T314" s="36"/>
      <c r="U314" s="68"/>
      <c r="V314" s="69"/>
      <c r="W314" s="70"/>
      <c r="X314" s="36"/>
      <c r="Y314" s="36"/>
      <c r="Z314" s="36"/>
      <c r="AA314" s="36"/>
    </row>
    <row r="315" spans="1:27" ht="16.8">
      <c r="A315" s="175"/>
      <c r="B315" s="178"/>
      <c r="C315" s="175"/>
      <c r="D315" s="182" t="s">
        <v>407</v>
      </c>
      <c r="E315" s="175"/>
      <c r="F315" s="175"/>
      <c r="G315" s="175"/>
      <c r="H315" s="175"/>
      <c r="I315" s="175"/>
      <c r="J315" s="175"/>
      <c r="K315" s="175"/>
      <c r="L315" s="175"/>
      <c r="M315" s="175"/>
      <c r="N315" s="36"/>
      <c r="O315" s="36"/>
      <c r="P315" s="36"/>
      <c r="Q315" s="36"/>
      <c r="R315" s="36"/>
      <c r="S315" s="36"/>
      <c r="T315" s="36"/>
      <c r="U315" s="68"/>
      <c r="V315" s="69"/>
      <c r="W315" s="70"/>
      <c r="X315" s="36"/>
      <c r="Y315" s="36"/>
      <c r="Z315" s="36"/>
      <c r="AA315" s="36"/>
    </row>
    <row r="316" spans="1:27" ht="16.8">
      <c r="A316" s="175"/>
      <c r="B316" s="178"/>
      <c r="C316" s="175"/>
      <c r="D316" s="182" t="s">
        <v>408</v>
      </c>
      <c r="E316" s="175"/>
      <c r="F316" s="175"/>
      <c r="G316" s="175"/>
      <c r="H316" s="175"/>
      <c r="I316" s="175"/>
      <c r="J316" s="175"/>
      <c r="K316" s="175"/>
      <c r="L316" s="175"/>
      <c r="M316" s="175"/>
      <c r="N316" s="36"/>
      <c r="O316" s="36"/>
      <c r="P316" s="36"/>
      <c r="Q316" s="36"/>
      <c r="R316" s="36"/>
      <c r="S316" s="36"/>
      <c r="T316" s="36"/>
      <c r="U316" s="68"/>
      <c r="V316" s="69"/>
      <c r="W316" s="70"/>
      <c r="X316" s="36"/>
      <c r="Y316" s="36"/>
      <c r="Z316" s="36"/>
      <c r="AA316" s="36"/>
    </row>
    <row r="317" spans="1:27" ht="16.8">
      <c r="A317" s="175"/>
      <c r="B317" s="178"/>
      <c r="C317" s="175"/>
      <c r="D317" s="182"/>
      <c r="E317" s="175"/>
      <c r="F317" s="175"/>
      <c r="G317" s="175"/>
      <c r="H317" s="175"/>
      <c r="I317" s="175"/>
      <c r="J317" s="175"/>
      <c r="K317" s="175"/>
      <c r="L317" s="175"/>
      <c r="M317" s="175"/>
      <c r="N317" s="36"/>
      <c r="O317" s="36"/>
      <c r="P317" s="36"/>
      <c r="Q317" s="36"/>
      <c r="R317" s="36"/>
      <c r="S317" s="36"/>
      <c r="T317" s="36"/>
      <c r="U317" s="68"/>
      <c r="V317" s="69"/>
      <c r="W317" s="70"/>
      <c r="X317" s="36"/>
      <c r="Y317" s="36"/>
      <c r="Z317" s="36"/>
      <c r="AA317" s="36"/>
    </row>
    <row r="318" spans="1:27" ht="16.8">
      <c r="A318" s="175"/>
      <c r="B318" s="178"/>
      <c r="C318" s="175"/>
      <c r="D318" s="175" t="s">
        <v>409</v>
      </c>
      <c r="E318" s="175"/>
      <c r="F318" s="175"/>
      <c r="G318" s="175"/>
      <c r="H318" s="175"/>
      <c r="I318" s="175"/>
      <c r="J318" s="175"/>
      <c r="K318" s="175"/>
      <c r="L318" s="175"/>
      <c r="M318" s="175"/>
      <c r="N318" s="36"/>
      <c r="O318" s="36"/>
      <c r="P318" s="36"/>
      <c r="Q318" s="36"/>
      <c r="R318" s="36"/>
      <c r="S318" s="36"/>
      <c r="T318" s="36"/>
      <c r="U318" s="68"/>
      <c r="V318" s="69"/>
      <c r="W318" s="70"/>
      <c r="X318" s="36"/>
      <c r="Y318" s="36"/>
      <c r="Z318" s="36"/>
      <c r="AA318" s="36"/>
    </row>
    <row r="319" spans="1:27" ht="16.8">
      <c r="A319" s="175"/>
      <c r="B319" s="178"/>
      <c r="C319" s="175"/>
      <c r="D319" s="182" t="s">
        <v>410</v>
      </c>
      <c r="E319" s="175"/>
      <c r="F319" s="175"/>
      <c r="G319" s="175"/>
      <c r="H319" s="175"/>
      <c r="I319" s="175"/>
      <c r="J319" s="175"/>
      <c r="K319" s="175"/>
      <c r="L319" s="175"/>
      <c r="M319" s="175"/>
      <c r="N319" s="36"/>
      <c r="O319" s="36"/>
      <c r="P319" s="36"/>
      <c r="Q319" s="36"/>
      <c r="R319" s="36"/>
      <c r="S319" s="36"/>
      <c r="T319" s="36"/>
      <c r="U319" s="68"/>
      <c r="V319" s="69"/>
      <c r="W319" s="70"/>
      <c r="X319" s="36"/>
      <c r="Y319" s="36"/>
      <c r="Z319" s="36"/>
      <c r="AA319" s="36"/>
    </row>
    <row r="320" spans="1:27" ht="16.8">
      <c r="A320" s="175"/>
      <c r="B320" s="178"/>
      <c r="C320" s="175"/>
      <c r="D320" s="182" t="s">
        <v>411</v>
      </c>
      <c r="E320" s="175"/>
      <c r="F320" s="175"/>
      <c r="G320" s="175"/>
      <c r="H320" s="175"/>
      <c r="I320" s="175"/>
      <c r="J320" s="175"/>
      <c r="K320" s="175"/>
      <c r="L320" s="175"/>
      <c r="M320" s="175"/>
      <c r="N320" s="36"/>
      <c r="O320" s="36"/>
      <c r="P320" s="36"/>
      <c r="Q320" s="36"/>
      <c r="R320" s="36"/>
      <c r="S320" s="36"/>
      <c r="T320" s="36"/>
      <c r="U320" s="68"/>
      <c r="V320" s="69"/>
      <c r="W320" s="70"/>
      <c r="X320" s="36"/>
      <c r="Y320" s="36"/>
      <c r="Z320" s="36"/>
      <c r="AA320" s="36"/>
    </row>
    <row r="321" spans="1:27" ht="16.8">
      <c r="A321" s="36"/>
      <c r="B321" s="36"/>
      <c r="C321" s="36"/>
      <c r="D321" s="36"/>
      <c r="E321" s="36"/>
      <c r="F321" s="36"/>
      <c r="G321" s="36"/>
      <c r="H321" s="36"/>
      <c r="I321" s="36"/>
      <c r="J321" s="36"/>
      <c r="K321" s="36"/>
      <c r="L321" s="36"/>
      <c r="M321" s="36"/>
      <c r="N321" s="36"/>
      <c r="O321" s="36"/>
      <c r="P321" s="36"/>
      <c r="Q321" s="36"/>
      <c r="R321" s="36"/>
      <c r="S321" s="36"/>
      <c r="T321" s="36"/>
      <c r="U321" s="68"/>
      <c r="V321" s="69"/>
      <c r="W321" s="70"/>
      <c r="X321" s="36"/>
      <c r="Y321" s="36"/>
      <c r="Z321" s="36"/>
      <c r="AA321" s="36"/>
    </row>
    <row r="322" spans="1:27" ht="16.8">
      <c r="A322" s="36"/>
      <c r="B322" s="75"/>
      <c r="C322" s="75"/>
      <c r="D322" s="75"/>
      <c r="E322" s="75"/>
      <c r="F322" s="75"/>
      <c r="G322" s="75"/>
      <c r="H322" s="75"/>
      <c r="I322" s="75"/>
      <c r="J322" s="75"/>
      <c r="K322" s="75"/>
      <c r="L322" s="75"/>
      <c r="M322" s="75"/>
      <c r="N322" s="36"/>
      <c r="O322" s="36"/>
      <c r="P322" s="36"/>
      <c r="Q322" s="36"/>
      <c r="R322" s="36"/>
      <c r="S322" s="36"/>
      <c r="T322" s="36"/>
      <c r="U322" s="68"/>
      <c r="V322" s="69"/>
      <c r="W322" s="70"/>
      <c r="X322" s="36"/>
      <c r="Y322" s="36"/>
      <c r="Z322" s="36"/>
      <c r="AA322" s="36"/>
    </row>
    <row r="323" spans="1:27" ht="16.8">
      <c r="A323" s="36"/>
      <c r="B323" s="75"/>
      <c r="C323" s="75"/>
      <c r="D323" s="75"/>
      <c r="E323" s="75"/>
      <c r="F323" s="75"/>
      <c r="G323" s="75"/>
      <c r="H323" s="75"/>
      <c r="I323" s="75"/>
      <c r="J323" s="75"/>
      <c r="K323" s="75"/>
      <c r="L323" s="75"/>
      <c r="M323" s="75"/>
      <c r="N323" s="36"/>
      <c r="O323" s="36"/>
      <c r="P323" s="36"/>
      <c r="Q323" s="36"/>
      <c r="R323" s="36"/>
      <c r="S323" s="36"/>
      <c r="T323" s="36"/>
      <c r="U323" s="68"/>
      <c r="V323" s="69"/>
      <c r="W323" s="70"/>
      <c r="X323" s="36"/>
      <c r="Y323" s="36"/>
      <c r="Z323" s="36"/>
      <c r="AA323" s="36"/>
    </row>
    <row r="324" spans="1:27" ht="16.8">
      <c r="A324" s="36"/>
      <c r="B324" s="75"/>
      <c r="C324" s="75"/>
      <c r="D324" s="75"/>
      <c r="E324" s="75"/>
      <c r="F324" s="75"/>
      <c r="G324" s="75"/>
      <c r="H324" s="75"/>
      <c r="I324" s="75"/>
      <c r="J324" s="75"/>
      <c r="K324" s="75"/>
      <c r="L324" s="75"/>
      <c r="M324" s="75"/>
      <c r="N324" s="36"/>
      <c r="O324" s="36"/>
      <c r="P324" s="36"/>
      <c r="Q324" s="36"/>
      <c r="R324" s="36"/>
      <c r="S324" s="36"/>
      <c r="T324" s="36"/>
      <c r="U324" s="68"/>
      <c r="V324" s="69"/>
      <c r="W324" s="70"/>
      <c r="X324" s="36"/>
      <c r="Y324" s="36"/>
      <c r="Z324" s="36"/>
      <c r="AA324" s="36"/>
    </row>
    <row r="325" spans="1:27" ht="16.8">
      <c r="A325" s="36"/>
      <c r="B325" s="75"/>
      <c r="C325" s="75"/>
      <c r="D325" s="75"/>
      <c r="E325" s="75"/>
      <c r="F325" s="75"/>
      <c r="G325" s="75"/>
      <c r="H325" s="75"/>
      <c r="I325" s="75"/>
      <c r="J325" s="75"/>
      <c r="K325" s="75"/>
      <c r="L325" s="75"/>
      <c r="M325" s="75"/>
      <c r="N325" s="36"/>
      <c r="O325" s="36"/>
      <c r="P325" s="36"/>
      <c r="Q325" s="36"/>
      <c r="R325" s="36"/>
      <c r="S325" s="36"/>
      <c r="T325" s="36"/>
      <c r="U325" s="68"/>
      <c r="V325" s="69"/>
      <c r="W325" s="70"/>
      <c r="X325" s="36"/>
      <c r="Y325" s="36"/>
      <c r="Z325" s="36"/>
      <c r="AA325" s="36"/>
    </row>
    <row r="326" spans="1:27" ht="16.8">
      <c r="A326" s="36"/>
      <c r="B326" s="75"/>
      <c r="C326" s="75"/>
      <c r="D326" s="75"/>
      <c r="E326" s="75"/>
      <c r="F326" s="75"/>
      <c r="G326" s="75"/>
      <c r="H326" s="75"/>
      <c r="I326" s="75"/>
      <c r="J326" s="75"/>
      <c r="K326" s="75"/>
      <c r="L326" s="75"/>
      <c r="M326" s="75"/>
      <c r="N326" s="36"/>
      <c r="O326" s="36"/>
      <c r="P326" s="36"/>
      <c r="Q326" s="36"/>
      <c r="R326" s="36"/>
      <c r="S326" s="36"/>
      <c r="T326" s="36"/>
      <c r="U326" s="68"/>
      <c r="V326" s="69"/>
      <c r="W326" s="70"/>
      <c r="X326" s="36"/>
      <c r="Y326" s="36"/>
      <c r="Z326" s="36"/>
      <c r="AA326" s="36"/>
    </row>
    <row r="327" spans="1:27" ht="16.8">
      <c r="A327" s="36"/>
      <c r="B327" s="75"/>
      <c r="C327" s="75"/>
      <c r="D327" s="75"/>
      <c r="E327" s="75"/>
      <c r="F327" s="75"/>
      <c r="G327" s="75"/>
      <c r="H327" s="75"/>
      <c r="I327" s="75"/>
      <c r="J327" s="75"/>
      <c r="K327" s="75"/>
      <c r="L327" s="75"/>
      <c r="M327" s="75"/>
      <c r="N327" s="36"/>
      <c r="O327" s="36"/>
      <c r="P327" s="36"/>
      <c r="Q327" s="36"/>
      <c r="R327" s="36"/>
      <c r="S327" s="36"/>
      <c r="T327" s="36"/>
      <c r="U327" s="68"/>
      <c r="V327" s="69"/>
      <c r="W327" s="70"/>
      <c r="X327" s="36"/>
      <c r="Y327" s="36"/>
      <c r="Z327" s="36"/>
      <c r="AA327" s="36"/>
    </row>
    <row r="328" spans="1:27" ht="16.8">
      <c r="A328" s="36"/>
      <c r="B328" s="75"/>
      <c r="C328" s="75"/>
      <c r="D328" s="75"/>
      <c r="E328" s="75"/>
      <c r="F328" s="75"/>
      <c r="G328" s="75"/>
      <c r="H328" s="75"/>
      <c r="I328" s="75"/>
      <c r="J328" s="75"/>
      <c r="K328" s="75"/>
      <c r="L328" s="75"/>
      <c r="M328" s="75"/>
      <c r="N328" s="36"/>
      <c r="O328" s="36"/>
      <c r="P328" s="36"/>
      <c r="Q328" s="36"/>
      <c r="R328" s="36"/>
      <c r="S328" s="36"/>
      <c r="T328" s="36"/>
      <c r="U328" s="68"/>
      <c r="V328" s="69"/>
      <c r="W328" s="70"/>
      <c r="X328" s="36"/>
      <c r="Y328" s="36"/>
      <c r="Z328" s="36"/>
      <c r="AA328" s="36"/>
    </row>
    <row r="329" spans="1:27" ht="16.8">
      <c r="A329" s="36"/>
      <c r="B329" s="75"/>
      <c r="C329" s="75"/>
      <c r="D329" s="75"/>
      <c r="E329" s="75"/>
      <c r="F329" s="75"/>
      <c r="G329" s="75"/>
      <c r="H329" s="75"/>
      <c r="I329" s="75"/>
      <c r="J329" s="75"/>
      <c r="K329" s="75"/>
      <c r="L329" s="75"/>
      <c r="M329" s="75"/>
      <c r="N329" s="36"/>
      <c r="O329" s="36"/>
      <c r="P329" s="36"/>
      <c r="Q329" s="36"/>
      <c r="R329" s="36"/>
      <c r="S329" s="36"/>
      <c r="T329" s="36"/>
      <c r="U329" s="68"/>
      <c r="V329" s="69"/>
      <c r="W329" s="70"/>
      <c r="X329" s="36"/>
      <c r="Y329" s="36"/>
      <c r="Z329" s="36"/>
      <c r="AA329" s="36"/>
    </row>
    <row r="330" spans="1:27" ht="16.8">
      <c r="A330" s="36"/>
      <c r="B330" s="75"/>
      <c r="C330" s="75"/>
      <c r="D330" s="75"/>
      <c r="E330" s="75"/>
      <c r="F330" s="75"/>
      <c r="G330" s="75"/>
      <c r="H330" s="75"/>
      <c r="I330" s="75"/>
      <c r="J330" s="75"/>
      <c r="K330" s="75"/>
      <c r="L330" s="75"/>
      <c r="M330" s="75"/>
      <c r="N330" s="36"/>
      <c r="O330" s="36"/>
      <c r="P330" s="36"/>
      <c r="Q330" s="36"/>
      <c r="R330" s="36"/>
      <c r="S330" s="36"/>
      <c r="T330" s="36"/>
      <c r="U330" s="68"/>
      <c r="V330" s="69"/>
      <c r="W330" s="70"/>
      <c r="X330" s="36"/>
      <c r="Y330" s="36"/>
      <c r="Z330" s="36"/>
      <c r="AA330" s="36"/>
    </row>
    <row r="331" spans="1:27" ht="16.8">
      <c r="A331" s="36"/>
      <c r="B331" s="75"/>
      <c r="C331" s="75"/>
      <c r="D331" s="75"/>
      <c r="E331" s="75"/>
      <c r="F331" s="75"/>
      <c r="G331" s="75"/>
      <c r="H331" s="75"/>
      <c r="I331" s="75"/>
      <c r="J331" s="75"/>
      <c r="K331" s="75"/>
      <c r="L331" s="75"/>
      <c r="M331" s="75"/>
      <c r="N331" s="36"/>
      <c r="O331" s="36"/>
      <c r="P331" s="36"/>
      <c r="Q331" s="36"/>
      <c r="R331" s="36"/>
      <c r="S331" s="36"/>
      <c r="T331" s="36"/>
      <c r="U331" s="68"/>
      <c r="V331" s="69"/>
      <c r="W331" s="70"/>
      <c r="X331" s="36"/>
      <c r="Y331" s="36"/>
      <c r="Z331" s="36"/>
      <c r="AA331" s="36"/>
    </row>
    <row r="332" spans="1:27" ht="16.8">
      <c r="A332" s="36"/>
      <c r="B332" s="75"/>
      <c r="C332" s="75"/>
      <c r="D332" s="75"/>
      <c r="E332" s="75"/>
      <c r="F332" s="75"/>
      <c r="G332" s="75"/>
      <c r="H332" s="75"/>
      <c r="I332" s="75"/>
      <c r="J332" s="75"/>
      <c r="K332" s="75"/>
      <c r="L332" s="75"/>
      <c r="M332" s="75"/>
      <c r="N332" s="36"/>
      <c r="O332" s="36"/>
      <c r="P332" s="36"/>
      <c r="Q332" s="36"/>
      <c r="R332" s="36"/>
      <c r="S332" s="36"/>
      <c r="T332" s="36"/>
      <c r="U332" s="68"/>
      <c r="V332" s="69"/>
      <c r="W332" s="70"/>
      <c r="X332" s="36"/>
      <c r="Y332" s="36"/>
      <c r="Z332" s="36"/>
      <c r="AA332" s="36"/>
    </row>
    <row r="333" spans="1:27" ht="16.8">
      <c r="A333" s="36"/>
      <c r="B333" s="75"/>
      <c r="C333" s="75"/>
      <c r="D333" s="75"/>
      <c r="E333" s="75"/>
      <c r="F333" s="75"/>
      <c r="G333" s="75"/>
      <c r="H333" s="75"/>
      <c r="I333" s="75"/>
      <c r="J333" s="75"/>
      <c r="K333" s="75"/>
      <c r="L333" s="75"/>
      <c r="M333" s="75"/>
      <c r="N333" s="36"/>
      <c r="O333" s="36"/>
      <c r="P333" s="36"/>
      <c r="Q333" s="36"/>
      <c r="R333" s="36"/>
      <c r="S333" s="36"/>
      <c r="T333" s="36"/>
      <c r="U333" s="68"/>
      <c r="V333" s="69"/>
      <c r="W333" s="70"/>
      <c r="X333" s="36"/>
      <c r="Y333" s="36"/>
      <c r="Z333" s="36"/>
      <c r="AA333" s="36"/>
    </row>
    <row r="334" spans="1:27" ht="16.8">
      <c r="A334" s="36"/>
      <c r="B334" s="75"/>
      <c r="C334" s="75"/>
      <c r="D334" s="75"/>
      <c r="E334" s="75"/>
      <c r="F334" s="75"/>
      <c r="G334" s="75"/>
      <c r="H334" s="75"/>
      <c r="I334" s="75"/>
      <c r="J334" s="75"/>
      <c r="K334" s="75"/>
      <c r="L334" s="75"/>
      <c r="M334" s="75"/>
      <c r="N334" s="36"/>
      <c r="O334" s="36"/>
      <c r="P334" s="36"/>
      <c r="Q334" s="36"/>
      <c r="R334" s="36"/>
      <c r="S334" s="36"/>
      <c r="T334" s="36"/>
      <c r="U334" s="68"/>
      <c r="V334" s="69"/>
      <c r="W334" s="70"/>
      <c r="X334" s="36"/>
      <c r="Y334" s="36"/>
      <c r="Z334" s="36"/>
      <c r="AA334" s="36"/>
    </row>
    <row r="335" spans="1:27" ht="16.8">
      <c r="A335" s="36"/>
      <c r="B335" s="75"/>
      <c r="C335" s="75"/>
      <c r="D335" s="75"/>
      <c r="E335" s="75"/>
      <c r="F335" s="75"/>
      <c r="G335" s="75"/>
      <c r="H335" s="75"/>
      <c r="I335" s="75"/>
      <c r="J335" s="75"/>
      <c r="K335" s="75"/>
      <c r="L335" s="75"/>
      <c r="M335" s="75"/>
      <c r="N335" s="36"/>
      <c r="O335" s="36"/>
      <c r="P335" s="36"/>
      <c r="Q335" s="36"/>
      <c r="R335" s="36"/>
      <c r="S335" s="36"/>
      <c r="T335" s="36"/>
      <c r="U335" s="68"/>
      <c r="V335" s="69"/>
      <c r="W335" s="70"/>
      <c r="X335" s="36"/>
      <c r="Y335" s="36"/>
      <c r="Z335" s="36"/>
      <c r="AA335" s="36"/>
    </row>
    <row r="336" spans="1:27" ht="16.8">
      <c r="A336" s="36"/>
      <c r="B336" s="75"/>
      <c r="C336" s="75"/>
      <c r="D336" s="75"/>
      <c r="E336" s="75"/>
      <c r="F336" s="75"/>
      <c r="G336" s="75"/>
      <c r="H336" s="75"/>
      <c r="I336" s="75"/>
      <c r="J336" s="75"/>
      <c r="K336" s="75"/>
      <c r="L336" s="75"/>
      <c r="M336" s="75"/>
      <c r="N336" s="36"/>
      <c r="O336" s="36"/>
      <c r="P336" s="36"/>
      <c r="Q336" s="36"/>
      <c r="R336" s="36"/>
      <c r="S336" s="36"/>
      <c r="T336" s="36"/>
      <c r="U336" s="68"/>
      <c r="V336" s="69"/>
      <c r="W336" s="70"/>
      <c r="X336" s="36"/>
      <c r="Y336" s="36"/>
      <c r="Z336" s="36"/>
      <c r="AA336" s="36"/>
    </row>
    <row r="337" spans="1:27" ht="16.8">
      <c r="A337" s="36"/>
      <c r="B337" s="75"/>
      <c r="C337" s="75"/>
      <c r="D337" s="75"/>
      <c r="E337" s="75"/>
      <c r="F337" s="75"/>
      <c r="G337" s="75"/>
      <c r="H337" s="75"/>
      <c r="I337" s="75"/>
      <c r="J337" s="75"/>
      <c r="K337" s="75"/>
      <c r="L337" s="75"/>
      <c r="M337" s="75"/>
      <c r="N337" s="36"/>
      <c r="O337" s="36"/>
      <c r="P337" s="36"/>
      <c r="Q337" s="36"/>
      <c r="R337" s="36"/>
      <c r="S337" s="36"/>
      <c r="T337" s="36"/>
      <c r="U337" s="68"/>
      <c r="V337" s="69"/>
      <c r="W337" s="70"/>
      <c r="X337" s="36"/>
      <c r="Y337" s="36"/>
      <c r="Z337" s="36"/>
      <c r="AA337" s="36"/>
    </row>
    <row r="338" spans="1:27" ht="16.8">
      <c r="A338" s="36"/>
      <c r="B338" s="75"/>
      <c r="C338" s="75"/>
      <c r="D338" s="75"/>
      <c r="E338" s="75"/>
      <c r="F338" s="75"/>
      <c r="G338" s="75"/>
      <c r="H338" s="75"/>
      <c r="I338" s="75"/>
      <c r="J338" s="75"/>
      <c r="K338" s="75"/>
      <c r="L338" s="75"/>
      <c r="M338" s="75"/>
      <c r="N338" s="36"/>
      <c r="O338" s="36"/>
      <c r="P338" s="36"/>
      <c r="Q338" s="36"/>
      <c r="R338" s="36"/>
      <c r="S338" s="36"/>
      <c r="T338" s="36"/>
      <c r="U338" s="68"/>
      <c r="V338" s="69"/>
      <c r="W338" s="70"/>
      <c r="X338" s="36"/>
      <c r="Y338" s="36"/>
      <c r="Z338" s="36"/>
      <c r="AA338" s="36"/>
    </row>
    <row r="339" spans="1:27" ht="16.8">
      <c r="A339" s="36"/>
      <c r="B339" s="75"/>
      <c r="C339" s="75"/>
      <c r="D339" s="75"/>
      <c r="E339" s="75"/>
      <c r="F339" s="75"/>
      <c r="G339" s="75"/>
      <c r="H339" s="75"/>
      <c r="I339" s="75"/>
      <c r="J339" s="75"/>
      <c r="K339" s="75"/>
      <c r="L339" s="75"/>
      <c r="M339" s="75"/>
      <c r="N339" s="36"/>
      <c r="O339" s="36"/>
      <c r="P339" s="36"/>
      <c r="Q339" s="36"/>
      <c r="R339" s="36"/>
      <c r="S339" s="36"/>
      <c r="T339" s="36"/>
      <c r="U339" s="68"/>
      <c r="V339" s="69"/>
      <c r="W339" s="70"/>
      <c r="X339" s="36"/>
      <c r="Y339" s="36"/>
      <c r="Z339" s="36"/>
      <c r="AA339" s="36"/>
    </row>
    <row r="340" spans="1:27" ht="16.8">
      <c r="A340" s="36"/>
      <c r="B340" s="75"/>
      <c r="C340" s="75"/>
      <c r="D340" s="75"/>
      <c r="E340" s="75"/>
      <c r="F340" s="75"/>
      <c r="G340" s="75"/>
      <c r="H340" s="75"/>
      <c r="I340" s="75"/>
      <c r="J340" s="75"/>
      <c r="K340" s="75"/>
      <c r="L340" s="75"/>
      <c r="M340" s="75"/>
      <c r="N340" s="36"/>
      <c r="O340" s="36"/>
      <c r="P340" s="36"/>
      <c r="Q340" s="36"/>
      <c r="R340" s="36"/>
      <c r="S340" s="36"/>
      <c r="T340" s="36"/>
      <c r="U340" s="68"/>
      <c r="V340" s="69"/>
      <c r="W340" s="70"/>
      <c r="X340" s="36"/>
      <c r="Y340" s="36"/>
      <c r="Z340" s="36"/>
      <c r="AA340" s="36"/>
    </row>
    <row r="341" spans="1:27" ht="16.8">
      <c r="A341" s="36"/>
      <c r="B341" s="75"/>
      <c r="C341" s="75"/>
      <c r="D341" s="75"/>
      <c r="E341" s="75"/>
      <c r="F341" s="75"/>
      <c r="G341" s="75"/>
      <c r="H341" s="75"/>
      <c r="I341" s="75"/>
      <c r="J341" s="75"/>
      <c r="K341" s="75"/>
      <c r="L341" s="75"/>
      <c r="M341" s="75"/>
      <c r="N341" s="36"/>
      <c r="O341" s="36"/>
      <c r="P341" s="36"/>
      <c r="Q341" s="36"/>
      <c r="R341" s="36"/>
      <c r="S341" s="36"/>
      <c r="T341" s="36"/>
      <c r="U341" s="68"/>
      <c r="V341" s="69"/>
      <c r="W341" s="70"/>
      <c r="X341" s="36"/>
      <c r="Y341" s="36"/>
      <c r="Z341" s="36"/>
      <c r="AA341" s="36"/>
    </row>
    <row r="342" spans="1:27" ht="16.8">
      <c r="A342" s="36"/>
      <c r="B342" s="75"/>
      <c r="C342" s="75"/>
      <c r="D342" s="75"/>
      <c r="E342" s="75"/>
      <c r="F342" s="75"/>
      <c r="G342" s="75"/>
      <c r="H342" s="75"/>
      <c r="I342" s="75"/>
      <c r="J342" s="75"/>
      <c r="K342" s="75"/>
      <c r="L342" s="75"/>
      <c r="M342" s="75"/>
      <c r="N342" s="36"/>
      <c r="O342" s="36"/>
      <c r="P342" s="36"/>
      <c r="Q342" s="36"/>
      <c r="R342" s="36"/>
      <c r="S342" s="36"/>
      <c r="T342" s="36"/>
      <c r="U342" s="68"/>
      <c r="V342" s="69"/>
      <c r="W342" s="70"/>
      <c r="X342" s="36"/>
      <c r="Y342" s="36"/>
      <c r="Z342" s="36"/>
      <c r="AA342" s="36"/>
    </row>
    <row r="343" spans="1:27" ht="16.8">
      <c r="C343" s="171" t="s">
        <v>355</v>
      </c>
      <c r="D343" s="171"/>
      <c r="E343" s="171"/>
      <c r="F343" s="171"/>
      <c r="G343" s="171"/>
      <c r="H343" s="171"/>
      <c r="I343" s="171"/>
      <c r="J343" s="171"/>
      <c r="K343" s="171"/>
      <c r="L343" s="171"/>
      <c r="M343" s="75"/>
      <c r="N343" s="36"/>
      <c r="O343" s="36"/>
      <c r="P343" s="36"/>
      <c r="Q343" s="36"/>
      <c r="R343" s="36"/>
      <c r="S343" s="36"/>
      <c r="T343" s="36"/>
      <c r="U343" s="68"/>
      <c r="V343" s="69"/>
      <c r="W343" s="70"/>
      <c r="X343" s="36"/>
      <c r="Y343" s="36"/>
      <c r="Z343" s="36"/>
      <c r="AA343" s="36"/>
    </row>
    <row r="344" spans="1:27" ht="16.8">
      <c r="C344" s="72"/>
      <c r="D344" s="72"/>
      <c r="E344" s="72"/>
      <c r="F344" s="72"/>
      <c r="G344" s="72"/>
      <c r="H344" s="72"/>
      <c r="I344" s="72"/>
      <c r="J344" s="72"/>
      <c r="K344" s="72"/>
      <c r="L344" s="72"/>
      <c r="M344" s="75"/>
      <c r="N344" s="36"/>
      <c r="O344" s="36"/>
      <c r="P344" s="36"/>
      <c r="Q344" s="36"/>
      <c r="R344" s="36"/>
      <c r="S344" s="36"/>
      <c r="T344" s="36"/>
      <c r="U344" s="68"/>
      <c r="V344" s="69"/>
      <c r="W344" s="70"/>
      <c r="X344" s="36"/>
      <c r="Y344" s="36"/>
      <c r="Z344" s="36"/>
      <c r="AA344" s="36"/>
    </row>
    <row r="345" spans="1:27" ht="16.8">
      <c r="C345" s="72"/>
      <c r="D345" s="72"/>
      <c r="E345" s="72"/>
      <c r="F345" s="72"/>
      <c r="G345" s="72"/>
      <c r="H345" s="72"/>
      <c r="I345" s="72"/>
      <c r="J345" s="72"/>
      <c r="K345" s="72"/>
      <c r="L345" s="72"/>
      <c r="M345" s="75"/>
      <c r="N345" s="36"/>
      <c r="O345" s="36"/>
      <c r="P345" s="36"/>
      <c r="Q345" s="36"/>
      <c r="R345" s="36"/>
      <c r="S345" s="36"/>
      <c r="T345" s="36"/>
      <c r="U345" s="68"/>
      <c r="V345" s="69"/>
      <c r="W345" s="70"/>
      <c r="X345" s="36"/>
      <c r="Y345" s="36"/>
      <c r="Z345" s="36"/>
      <c r="AA345" s="36"/>
    </row>
    <row r="346" spans="1:27" ht="16.8">
      <c r="C346" s="72"/>
      <c r="D346" s="72"/>
      <c r="E346" s="72"/>
      <c r="F346" s="72"/>
      <c r="G346" s="72"/>
      <c r="H346" s="72"/>
      <c r="I346" s="72"/>
      <c r="J346" s="72"/>
      <c r="K346" s="72"/>
      <c r="L346" s="72"/>
      <c r="M346" s="75"/>
      <c r="N346" s="36"/>
      <c r="O346" s="36"/>
      <c r="P346" s="36"/>
      <c r="Q346" s="36"/>
      <c r="R346" s="36"/>
      <c r="S346" s="36"/>
      <c r="T346" s="36"/>
      <c r="U346" s="68"/>
      <c r="V346" s="69"/>
      <c r="W346" s="70"/>
      <c r="X346" s="36"/>
      <c r="Y346" s="36"/>
      <c r="Z346" s="36"/>
      <c r="AA346" s="36"/>
    </row>
    <row r="347" spans="1:27" ht="16.8">
      <c r="C347" s="72"/>
      <c r="D347" s="72"/>
      <c r="E347" s="72"/>
      <c r="F347" s="72"/>
      <c r="G347" s="72"/>
      <c r="H347" s="72"/>
      <c r="I347" s="72"/>
      <c r="J347" s="72"/>
      <c r="K347" s="72"/>
      <c r="L347" s="72"/>
      <c r="M347" s="75"/>
      <c r="N347" s="36"/>
      <c r="O347" s="36"/>
      <c r="P347" s="36"/>
      <c r="Q347" s="36"/>
      <c r="R347" s="36"/>
      <c r="S347" s="36"/>
      <c r="T347" s="36"/>
      <c r="U347" s="68"/>
      <c r="V347" s="69"/>
      <c r="W347" s="70"/>
      <c r="X347" s="36"/>
      <c r="Y347" s="36"/>
      <c r="Z347" s="36"/>
      <c r="AA347" s="36"/>
    </row>
    <row r="348" spans="1:27" ht="16.8">
      <c r="C348" s="72"/>
      <c r="D348" s="72"/>
      <c r="E348" s="72"/>
      <c r="F348" s="72"/>
      <c r="G348" s="72"/>
      <c r="H348" s="72"/>
      <c r="I348" s="72"/>
      <c r="J348" s="72"/>
      <c r="K348" s="72"/>
      <c r="L348" s="72"/>
      <c r="M348" s="75"/>
      <c r="N348" s="36"/>
      <c r="O348" s="36"/>
      <c r="P348" s="36"/>
      <c r="Q348" s="36"/>
      <c r="R348" s="36"/>
      <c r="S348" s="36"/>
      <c r="T348" s="36"/>
      <c r="U348" s="68"/>
      <c r="V348" s="69"/>
      <c r="W348" s="70"/>
      <c r="X348" s="36"/>
      <c r="Y348" s="36"/>
      <c r="Z348" s="36"/>
      <c r="AA348" s="36"/>
    </row>
    <row r="349" spans="1:27" ht="16.8">
      <c r="C349" s="72"/>
      <c r="D349" s="72"/>
      <c r="E349" s="72"/>
      <c r="F349" s="72"/>
      <c r="G349" s="72"/>
      <c r="H349" s="72"/>
      <c r="I349" s="72"/>
      <c r="J349" s="72"/>
      <c r="K349" s="72"/>
      <c r="L349" s="72"/>
      <c r="M349" s="75"/>
      <c r="N349" s="36"/>
      <c r="O349" s="36"/>
      <c r="P349" s="36"/>
      <c r="Q349" s="36"/>
      <c r="R349" s="36"/>
      <c r="S349" s="36"/>
      <c r="T349" s="36"/>
      <c r="U349" s="68"/>
      <c r="V349" s="69"/>
      <c r="W349" s="70"/>
      <c r="X349" s="36"/>
      <c r="Y349" s="36"/>
      <c r="Z349" s="36"/>
      <c r="AA349" s="36"/>
    </row>
    <row r="350" spans="1:27" ht="16.8">
      <c r="C350" s="72"/>
      <c r="D350" s="72"/>
      <c r="E350" s="72"/>
      <c r="F350" s="72"/>
      <c r="G350" s="72"/>
      <c r="H350" s="72"/>
      <c r="I350" s="72"/>
      <c r="J350" s="72"/>
      <c r="K350" s="72"/>
      <c r="L350" s="72"/>
      <c r="M350" s="75"/>
      <c r="N350" s="36"/>
      <c r="O350" s="36"/>
      <c r="P350" s="36"/>
      <c r="Q350" s="36"/>
      <c r="R350" s="36"/>
      <c r="S350" s="36"/>
      <c r="T350" s="36"/>
      <c r="U350" s="68"/>
      <c r="V350" s="69"/>
      <c r="W350" s="70"/>
      <c r="X350" s="36"/>
      <c r="Y350" s="36"/>
      <c r="Z350" s="36"/>
      <c r="AA350" s="36"/>
    </row>
    <row r="351" spans="1:27" ht="16.8">
      <c r="C351" s="72"/>
      <c r="D351" s="72"/>
      <c r="E351" s="72"/>
      <c r="F351" s="72"/>
      <c r="G351" s="72"/>
      <c r="H351" s="72"/>
      <c r="I351" s="72"/>
      <c r="J351" s="72"/>
      <c r="K351" s="72"/>
      <c r="L351" s="72"/>
      <c r="M351" s="75"/>
      <c r="N351" s="36"/>
      <c r="O351" s="36"/>
      <c r="P351" s="36"/>
      <c r="Q351" s="36"/>
      <c r="R351" s="36"/>
      <c r="S351" s="36"/>
      <c r="T351" s="36"/>
      <c r="U351" s="68"/>
      <c r="V351" s="69"/>
      <c r="W351" s="70"/>
      <c r="X351" s="36"/>
      <c r="Y351" s="36"/>
      <c r="Z351" s="36"/>
      <c r="AA351" s="36"/>
    </row>
    <row r="352" spans="1:27" ht="16.8">
      <c r="C352" s="72"/>
      <c r="D352" s="72"/>
      <c r="E352" s="72"/>
      <c r="F352" s="72"/>
      <c r="G352" s="72"/>
      <c r="H352" s="72"/>
      <c r="I352" s="72"/>
      <c r="J352" s="72"/>
      <c r="K352" s="72"/>
      <c r="L352" s="72"/>
      <c r="M352" s="75"/>
      <c r="N352" s="36"/>
      <c r="O352" s="36"/>
      <c r="P352" s="36"/>
      <c r="Q352" s="36"/>
      <c r="R352" s="36"/>
      <c r="S352" s="36"/>
      <c r="T352" s="36"/>
      <c r="U352" s="68"/>
      <c r="V352" s="69"/>
      <c r="W352" s="70"/>
      <c r="X352" s="36"/>
      <c r="Y352" s="36"/>
      <c r="Z352" s="36"/>
      <c r="AA352" s="36"/>
    </row>
    <row r="353" spans="3:27" ht="16.8">
      <c r="C353" s="72"/>
      <c r="D353" s="72"/>
      <c r="E353" s="72"/>
      <c r="F353" s="72"/>
      <c r="G353" s="72"/>
      <c r="H353" s="72"/>
      <c r="I353" s="72"/>
      <c r="J353" s="72"/>
      <c r="K353" s="72"/>
      <c r="L353" s="72"/>
      <c r="M353" s="75"/>
      <c r="N353" s="36"/>
      <c r="O353" s="36"/>
      <c r="P353" s="36"/>
      <c r="Q353" s="36"/>
      <c r="R353" s="36"/>
      <c r="S353" s="36"/>
      <c r="T353" s="36"/>
      <c r="U353" s="68"/>
      <c r="V353" s="69"/>
      <c r="W353" s="70"/>
      <c r="X353" s="36"/>
      <c r="Y353" s="36"/>
      <c r="Z353" s="36"/>
      <c r="AA353" s="36"/>
    </row>
    <row r="354" spans="3:27" ht="16.8">
      <c r="C354" s="72"/>
      <c r="D354" s="72"/>
      <c r="E354" s="72"/>
      <c r="F354" s="72"/>
      <c r="G354" s="72"/>
      <c r="H354" s="72"/>
      <c r="I354" s="72"/>
      <c r="J354" s="72"/>
      <c r="K354" s="72"/>
      <c r="L354" s="72"/>
      <c r="M354" s="75"/>
      <c r="N354" s="36"/>
      <c r="O354" s="36"/>
      <c r="P354" s="36"/>
      <c r="Q354" s="36"/>
      <c r="R354" s="36"/>
      <c r="S354" s="36"/>
      <c r="T354" s="36"/>
      <c r="U354" s="68"/>
      <c r="V354" s="69"/>
      <c r="W354" s="70"/>
      <c r="X354" s="36"/>
      <c r="Y354" s="36"/>
      <c r="Z354" s="36"/>
      <c r="AA354" s="36"/>
    </row>
    <row r="355" spans="3:27" ht="16.8">
      <c r="C355" s="72"/>
      <c r="D355" s="72"/>
      <c r="E355" s="72"/>
      <c r="F355" s="72"/>
      <c r="G355" s="72"/>
      <c r="H355" s="72"/>
      <c r="I355" s="72"/>
      <c r="J355" s="72"/>
      <c r="K355" s="72"/>
      <c r="L355" s="72"/>
      <c r="M355" s="75"/>
      <c r="N355" s="36"/>
      <c r="O355" s="36"/>
      <c r="P355" s="36"/>
      <c r="Q355" s="36"/>
      <c r="R355" s="36"/>
      <c r="S355" s="36"/>
      <c r="T355" s="36"/>
      <c r="U355" s="68"/>
      <c r="V355" s="69"/>
      <c r="W355" s="70"/>
      <c r="X355" s="36"/>
      <c r="Y355" s="36"/>
      <c r="Z355" s="36"/>
      <c r="AA355" s="36"/>
    </row>
    <row r="356" spans="3:27" ht="16.8">
      <c r="C356" s="72"/>
      <c r="D356" s="72"/>
      <c r="E356" s="72"/>
      <c r="F356" s="72"/>
      <c r="G356" s="72"/>
      <c r="H356" s="72"/>
      <c r="I356" s="72"/>
      <c r="J356" s="72"/>
      <c r="K356" s="72"/>
      <c r="L356" s="72"/>
      <c r="M356" s="75"/>
      <c r="N356" s="36"/>
      <c r="O356" s="36"/>
      <c r="P356" s="36"/>
      <c r="Q356" s="36"/>
      <c r="R356" s="36"/>
      <c r="S356" s="36"/>
      <c r="T356" s="36"/>
      <c r="U356" s="68"/>
      <c r="V356" s="69"/>
      <c r="W356" s="70"/>
      <c r="X356" s="36"/>
      <c r="Y356" s="36"/>
      <c r="Z356" s="36"/>
      <c r="AA356" s="36"/>
    </row>
    <row r="357" spans="3:27" ht="16.8">
      <c r="C357" s="72"/>
      <c r="D357" s="72"/>
      <c r="E357" s="72"/>
      <c r="F357" s="72"/>
      <c r="G357" s="72"/>
      <c r="H357" s="72"/>
      <c r="I357" s="72"/>
      <c r="J357" s="72"/>
      <c r="K357" s="72"/>
      <c r="L357" s="72"/>
      <c r="M357" s="75"/>
      <c r="N357" s="36"/>
      <c r="O357" s="36"/>
      <c r="P357" s="36"/>
      <c r="Q357" s="36"/>
      <c r="R357" s="36"/>
      <c r="S357" s="36"/>
      <c r="T357" s="36"/>
      <c r="U357" s="68"/>
      <c r="V357" s="69"/>
      <c r="W357" s="70"/>
      <c r="X357" s="36"/>
      <c r="Y357" s="36"/>
      <c r="Z357" s="36"/>
      <c r="AA357" s="36"/>
    </row>
    <row r="358" spans="3:27" ht="16.8">
      <c r="C358" s="72"/>
      <c r="D358" s="72"/>
      <c r="E358" s="72"/>
      <c r="F358" s="72"/>
      <c r="G358" s="72"/>
      <c r="H358" s="72"/>
      <c r="I358" s="72"/>
      <c r="J358" s="72"/>
      <c r="K358" s="72"/>
      <c r="L358" s="72"/>
      <c r="M358" s="75"/>
      <c r="N358" s="36"/>
      <c r="O358" s="36"/>
      <c r="P358" s="36"/>
      <c r="Q358" s="36"/>
      <c r="R358" s="36"/>
      <c r="S358" s="36"/>
      <c r="T358" s="36"/>
      <c r="U358" s="68"/>
      <c r="V358" s="69"/>
      <c r="W358" s="70"/>
      <c r="X358" s="36"/>
      <c r="Y358" s="36"/>
      <c r="Z358" s="36"/>
      <c r="AA358" s="36"/>
    </row>
    <row r="359" spans="3:27" ht="16.8">
      <c r="C359" s="72"/>
      <c r="D359" s="72"/>
      <c r="E359" s="72"/>
      <c r="F359" s="72"/>
      <c r="G359" s="72"/>
      <c r="H359" s="72"/>
      <c r="I359" s="72"/>
      <c r="J359" s="72"/>
      <c r="K359" s="72"/>
      <c r="L359" s="72"/>
      <c r="M359" s="75"/>
      <c r="N359" s="36"/>
      <c r="O359" s="36"/>
      <c r="P359" s="36"/>
      <c r="Q359" s="36"/>
      <c r="R359" s="36"/>
      <c r="S359" s="36"/>
      <c r="T359" s="36"/>
      <c r="U359" s="68"/>
      <c r="V359" s="69"/>
      <c r="W359" s="70"/>
      <c r="X359" s="36"/>
      <c r="Y359" s="36"/>
      <c r="Z359" s="36"/>
      <c r="AA359" s="36"/>
    </row>
    <row r="360" spans="3:27" ht="16.8">
      <c r="C360" s="72"/>
      <c r="D360" s="72"/>
      <c r="E360" s="72"/>
      <c r="F360" s="72"/>
      <c r="G360" s="72"/>
      <c r="H360" s="72"/>
      <c r="I360" s="72"/>
      <c r="J360" s="72"/>
      <c r="K360" s="72"/>
      <c r="L360" s="72"/>
      <c r="M360" s="75"/>
      <c r="N360" s="36"/>
      <c r="O360" s="36"/>
      <c r="P360" s="36"/>
      <c r="Q360" s="36"/>
      <c r="R360" s="36"/>
      <c r="S360" s="36"/>
      <c r="T360" s="36"/>
      <c r="U360" s="68"/>
      <c r="V360" s="69"/>
      <c r="W360" s="70"/>
      <c r="X360" s="36"/>
      <c r="Y360" s="36"/>
      <c r="Z360" s="36"/>
      <c r="AA360" s="36"/>
    </row>
    <row r="361" spans="3:27" ht="16.8">
      <c r="C361" s="72"/>
      <c r="D361" s="72"/>
      <c r="E361" s="72"/>
      <c r="F361" s="72"/>
      <c r="G361" s="72"/>
      <c r="H361" s="72"/>
      <c r="I361" s="72"/>
      <c r="J361" s="72"/>
      <c r="K361" s="72"/>
      <c r="L361" s="72"/>
      <c r="M361" s="75"/>
      <c r="N361" s="36"/>
      <c r="O361" s="36"/>
      <c r="P361" s="36"/>
      <c r="Q361" s="36"/>
      <c r="R361" s="36"/>
      <c r="S361" s="36"/>
      <c r="T361" s="36"/>
      <c r="U361" s="68"/>
      <c r="V361" s="69"/>
      <c r="W361" s="70"/>
      <c r="X361" s="36"/>
      <c r="Y361" s="36"/>
      <c r="Z361" s="36"/>
      <c r="AA361" s="36"/>
    </row>
    <row r="362" spans="3:27" ht="16.8">
      <c r="C362" s="72"/>
      <c r="D362" s="72"/>
      <c r="E362" s="72"/>
      <c r="F362" s="72"/>
      <c r="G362" s="72"/>
      <c r="H362" s="72"/>
      <c r="I362" s="72"/>
      <c r="J362" s="72"/>
      <c r="K362" s="72"/>
      <c r="L362" s="72"/>
      <c r="M362" s="75"/>
      <c r="N362" s="36"/>
      <c r="O362" s="36"/>
      <c r="P362" s="36"/>
      <c r="Q362" s="36"/>
      <c r="R362" s="36"/>
      <c r="S362" s="36"/>
      <c r="T362" s="36"/>
      <c r="U362" s="68"/>
      <c r="V362" s="69"/>
      <c r="W362" s="70"/>
      <c r="X362" s="36"/>
      <c r="Y362" s="36"/>
      <c r="Z362" s="36"/>
      <c r="AA362" s="36"/>
    </row>
    <row r="363" spans="3:27" ht="16.8">
      <c r="C363" s="72"/>
      <c r="D363" s="72"/>
      <c r="E363" s="72"/>
      <c r="F363" s="72"/>
      <c r="G363" s="72"/>
      <c r="H363" s="72"/>
      <c r="I363" s="72"/>
      <c r="J363" s="72"/>
      <c r="K363" s="72"/>
      <c r="L363" s="72"/>
      <c r="M363" s="75"/>
      <c r="N363" s="36"/>
      <c r="O363" s="36"/>
      <c r="P363" s="36"/>
      <c r="Q363" s="36"/>
      <c r="R363" s="36"/>
      <c r="S363" s="36"/>
      <c r="T363" s="36"/>
      <c r="U363" s="68"/>
      <c r="V363" s="69"/>
      <c r="W363" s="70"/>
      <c r="X363" s="36"/>
      <c r="Y363" s="36"/>
      <c r="Z363" s="36"/>
      <c r="AA363" s="36"/>
    </row>
    <row r="364" spans="3:27" ht="16.8">
      <c r="C364" s="72"/>
      <c r="D364" s="72"/>
      <c r="E364" s="72"/>
      <c r="F364" s="72"/>
      <c r="G364" s="72"/>
      <c r="H364" s="72"/>
      <c r="I364" s="72"/>
      <c r="J364" s="72"/>
      <c r="K364" s="72"/>
      <c r="L364" s="72"/>
      <c r="M364" s="75"/>
      <c r="N364" s="36"/>
      <c r="O364" s="36"/>
      <c r="P364" s="36"/>
      <c r="Q364" s="36"/>
      <c r="R364" s="36"/>
      <c r="S364" s="36"/>
      <c r="T364" s="36"/>
      <c r="U364" s="68"/>
      <c r="V364" s="69"/>
      <c r="W364" s="70"/>
      <c r="X364" s="36"/>
      <c r="Y364" s="36"/>
      <c r="Z364" s="36"/>
      <c r="AA364" s="36"/>
    </row>
    <row r="365" spans="3:27" ht="16.8">
      <c r="C365" s="72"/>
      <c r="D365" s="72"/>
      <c r="E365" s="72"/>
      <c r="F365" s="72"/>
      <c r="G365" s="72"/>
      <c r="H365" s="72"/>
      <c r="I365" s="72"/>
      <c r="J365" s="72"/>
      <c r="K365" s="72"/>
      <c r="L365" s="72"/>
      <c r="M365" s="75"/>
      <c r="N365" s="36"/>
      <c r="O365" s="36"/>
      <c r="P365" s="36"/>
      <c r="Q365" s="36"/>
      <c r="R365" s="36"/>
      <c r="S365" s="36"/>
      <c r="T365" s="36"/>
      <c r="U365" s="68"/>
      <c r="V365" s="69"/>
      <c r="W365" s="70"/>
      <c r="X365" s="36"/>
      <c r="Y365" s="36"/>
      <c r="Z365" s="36"/>
      <c r="AA365" s="36"/>
    </row>
    <row r="366" spans="3:27" ht="16.8">
      <c r="C366" s="171" t="s">
        <v>356</v>
      </c>
      <c r="D366" s="171"/>
      <c r="E366" s="171"/>
      <c r="F366" s="171"/>
      <c r="G366" s="171"/>
      <c r="H366" s="171"/>
      <c r="I366" s="171"/>
      <c r="J366" s="171"/>
      <c r="K366" s="171"/>
      <c r="L366" s="171"/>
      <c r="M366" s="75"/>
      <c r="N366" s="36"/>
      <c r="O366" s="36"/>
      <c r="P366" s="36"/>
      <c r="Q366" s="36"/>
      <c r="R366" s="36"/>
      <c r="S366" s="36"/>
      <c r="T366" s="36"/>
      <c r="U366" s="68"/>
      <c r="V366" s="69"/>
      <c r="W366" s="70"/>
      <c r="X366" s="36"/>
      <c r="Y366" s="36"/>
      <c r="Z366" s="36"/>
      <c r="AA366" s="36"/>
    </row>
    <row r="367" spans="3:27" ht="16.8">
      <c r="C367" s="72"/>
      <c r="D367" s="72"/>
      <c r="E367" s="72"/>
      <c r="F367" s="72"/>
      <c r="G367" s="72"/>
      <c r="H367" s="72"/>
      <c r="I367" s="72"/>
      <c r="J367" s="72"/>
      <c r="K367" s="72"/>
      <c r="L367" s="72"/>
      <c r="M367" s="75"/>
      <c r="N367" s="36"/>
      <c r="O367" s="36"/>
      <c r="P367" s="36"/>
      <c r="Q367" s="36"/>
      <c r="R367" s="36"/>
      <c r="S367" s="36"/>
      <c r="T367" s="36"/>
      <c r="U367" s="68"/>
      <c r="V367" s="69"/>
      <c r="W367" s="70"/>
      <c r="X367" s="36"/>
      <c r="Y367" s="36"/>
      <c r="Z367" s="36"/>
      <c r="AA367" s="36"/>
    </row>
    <row r="368" spans="3:27" ht="16.8">
      <c r="C368" s="72"/>
      <c r="D368" s="72"/>
      <c r="E368" s="72"/>
      <c r="F368" s="72"/>
      <c r="G368" s="72"/>
      <c r="H368" s="72"/>
      <c r="I368" s="72"/>
      <c r="J368" s="72"/>
      <c r="K368" s="72"/>
      <c r="L368" s="72"/>
      <c r="M368" s="75"/>
      <c r="N368" s="36"/>
      <c r="O368" s="36"/>
      <c r="P368" s="36"/>
      <c r="Q368" s="36"/>
      <c r="R368" s="36"/>
      <c r="S368" s="36"/>
      <c r="T368" s="36"/>
      <c r="U368" s="68"/>
      <c r="V368" s="69"/>
      <c r="W368" s="70"/>
      <c r="X368" s="36"/>
      <c r="Y368" s="36"/>
      <c r="Z368" s="36"/>
      <c r="AA368" s="36"/>
    </row>
    <row r="369" spans="1:27" ht="18">
      <c r="A369" s="36"/>
      <c r="B369" s="130" t="s">
        <v>324</v>
      </c>
      <c r="C369" s="36"/>
      <c r="D369" s="36"/>
      <c r="E369" s="36"/>
      <c r="F369" s="36"/>
      <c r="G369" s="36"/>
      <c r="H369" s="36"/>
      <c r="I369" s="36"/>
      <c r="J369" s="36"/>
      <c r="K369" s="36"/>
      <c r="L369" s="36"/>
      <c r="M369" s="36"/>
      <c r="N369" s="36"/>
      <c r="O369" s="36"/>
      <c r="P369" s="36"/>
      <c r="Q369" s="36"/>
      <c r="R369" s="36"/>
      <c r="S369" s="36"/>
      <c r="T369" s="36"/>
      <c r="U369" s="68"/>
      <c r="V369" s="69"/>
      <c r="W369" s="70"/>
      <c r="X369" s="36"/>
      <c r="Y369" s="36"/>
      <c r="Z369" s="36"/>
      <c r="AA369" s="36"/>
    </row>
    <row r="370" spans="1:27" ht="16.8">
      <c r="A370" s="36"/>
      <c r="B370" s="36"/>
      <c r="C370" s="36"/>
      <c r="D370" s="36"/>
      <c r="E370" s="36"/>
      <c r="F370" s="36"/>
      <c r="G370" s="36"/>
      <c r="H370" s="36"/>
      <c r="I370" s="36"/>
      <c r="J370" s="36"/>
      <c r="K370" s="36"/>
      <c r="L370" s="36"/>
      <c r="M370" s="36"/>
      <c r="N370" s="36"/>
      <c r="O370" s="36"/>
      <c r="P370" s="36"/>
      <c r="Q370" s="36"/>
      <c r="R370" s="36"/>
      <c r="S370" s="36"/>
      <c r="T370" s="36"/>
      <c r="U370" s="68"/>
      <c r="V370" s="69"/>
      <c r="W370" s="70"/>
      <c r="X370" s="36"/>
      <c r="Y370" s="36"/>
      <c r="Z370" s="36"/>
      <c r="AA370" s="36"/>
    </row>
    <row r="371" spans="1:27" ht="16.8">
      <c r="A371" s="36"/>
      <c r="B371" s="43" t="s">
        <v>314</v>
      </c>
      <c r="C371" s="36"/>
      <c r="D371" s="36"/>
      <c r="E371" s="36"/>
      <c r="F371" s="36"/>
      <c r="G371" s="36"/>
      <c r="H371" s="36"/>
      <c r="I371" s="36"/>
      <c r="J371" s="36"/>
      <c r="K371" s="36"/>
      <c r="L371" s="36"/>
      <c r="M371" s="36"/>
      <c r="N371" s="36"/>
      <c r="O371" s="36"/>
      <c r="P371" s="36"/>
      <c r="Q371" s="36"/>
      <c r="R371" s="36"/>
      <c r="S371" s="36"/>
      <c r="T371" s="36"/>
      <c r="U371" s="68"/>
      <c r="V371" s="69"/>
      <c r="W371" s="70"/>
      <c r="X371" s="36"/>
      <c r="Y371" s="36"/>
      <c r="Z371" s="36"/>
      <c r="AA371" s="36"/>
    </row>
    <row r="372" spans="1:27" ht="16.8">
      <c r="A372" s="36"/>
      <c r="B372" s="43"/>
      <c r="C372" s="36"/>
      <c r="D372" s="36"/>
      <c r="E372" s="36"/>
      <c r="F372" s="36"/>
      <c r="G372" s="36"/>
      <c r="H372" s="36"/>
      <c r="I372" s="36"/>
      <c r="J372" s="36"/>
      <c r="K372" s="36"/>
      <c r="L372" s="36"/>
      <c r="M372" s="36"/>
      <c r="N372" s="36"/>
      <c r="O372" s="36"/>
      <c r="P372" s="36"/>
      <c r="Q372" s="36"/>
      <c r="R372" s="36"/>
      <c r="S372" s="36"/>
      <c r="T372" s="36"/>
      <c r="U372" s="68"/>
      <c r="V372" s="69"/>
      <c r="W372" s="70"/>
      <c r="X372" s="36"/>
      <c r="Y372" s="36"/>
      <c r="Z372" s="36"/>
      <c r="AA372" s="36"/>
    </row>
    <row r="373" spans="1:27" ht="16.8">
      <c r="A373" s="36"/>
      <c r="B373" s="36" t="s">
        <v>315</v>
      </c>
      <c r="C373" s="36"/>
      <c r="D373" s="36"/>
      <c r="E373" s="36" t="s">
        <v>316</v>
      </c>
      <c r="F373" s="36"/>
      <c r="G373" s="36"/>
      <c r="H373" s="36"/>
      <c r="I373" s="36"/>
      <c r="J373" s="36"/>
      <c r="K373" s="36"/>
      <c r="L373" s="36"/>
      <c r="M373" s="36"/>
      <c r="N373" s="36"/>
      <c r="O373" s="36"/>
      <c r="P373" s="36"/>
      <c r="Q373" s="36"/>
      <c r="R373" s="36"/>
      <c r="S373" s="36"/>
      <c r="T373" s="36"/>
      <c r="U373" s="68"/>
      <c r="V373" s="69"/>
      <c r="W373" s="70"/>
      <c r="X373" s="36"/>
      <c r="Y373" s="36"/>
      <c r="Z373" s="36"/>
      <c r="AA373" s="36"/>
    </row>
    <row r="374" spans="1:27" ht="16.8">
      <c r="A374" s="36"/>
      <c r="B374" s="36" t="s">
        <v>318</v>
      </c>
      <c r="C374" s="36"/>
      <c r="D374" s="36"/>
      <c r="E374" s="36" t="s">
        <v>317</v>
      </c>
      <c r="F374" s="36"/>
      <c r="G374" s="36"/>
      <c r="H374" s="36"/>
      <c r="I374" s="36"/>
      <c r="J374" s="36"/>
      <c r="K374" s="36"/>
      <c r="L374" s="36"/>
      <c r="M374" s="36"/>
      <c r="N374" s="36"/>
      <c r="O374" s="36"/>
      <c r="P374" s="36"/>
      <c r="Q374" s="36"/>
      <c r="R374" s="36"/>
      <c r="S374" s="36"/>
      <c r="T374" s="36"/>
      <c r="U374" s="68"/>
      <c r="V374" s="69"/>
      <c r="W374" s="70"/>
      <c r="X374" s="36"/>
      <c r="Y374" s="36"/>
      <c r="Z374" s="36"/>
      <c r="AA374" s="36"/>
    </row>
    <row r="375" spans="1:27" ht="16.8">
      <c r="A375" s="36"/>
      <c r="B375" s="36"/>
      <c r="C375" s="36"/>
      <c r="D375" s="36"/>
      <c r="E375" s="36"/>
      <c r="F375" s="36"/>
      <c r="G375" s="36"/>
      <c r="H375" s="36"/>
      <c r="I375" s="36"/>
      <c r="J375" s="36"/>
      <c r="K375" s="36"/>
      <c r="L375" s="36"/>
      <c r="M375" s="36"/>
      <c r="N375" s="36"/>
      <c r="O375" s="36"/>
      <c r="P375" s="36"/>
      <c r="Q375" s="36"/>
      <c r="R375" s="36"/>
      <c r="S375" s="36"/>
      <c r="T375" s="36"/>
      <c r="U375" s="68"/>
      <c r="V375" s="69"/>
      <c r="W375" s="70"/>
      <c r="X375" s="36"/>
      <c r="Y375" s="36"/>
      <c r="Z375" s="36"/>
      <c r="AA375" s="36"/>
    </row>
    <row r="376" spans="1:27" ht="16.8">
      <c r="A376" s="36"/>
      <c r="B376" s="107" t="s">
        <v>319</v>
      </c>
      <c r="C376" s="36"/>
      <c r="D376" s="36"/>
      <c r="E376" s="36"/>
      <c r="F376" s="161" t="s">
        <v>77</v>
      </c>
      <c r="G376" s="161"/>
      <c r="H376" s="161" t="s">
        <v>325</v>
      </c>
      <c r="I376" s="161"/>
      <c r="J376" s="36"/>
      <c r="K376" s="36"/>
      <c r="L376" s="36"/>
      <c r="M376" s="36"/>
      <c r="N376" s="36"/>
      <c r="O376" s="36"/>
      <c r="P376" s="36"/>
      <c r="Q376" s="36"/>
      <c r="R376" s="36"/>
      <c r="S376" s="36"/>
      <c r="T376" s="36"/>
      <c r="U376" s="68"/>
      <c r="V376" s="69"/>
      <c r="W376" s="70"/>
      <c r="X376" s="36"/>
      <c r="Y376" s="36"/>
      <c r="Z376" s="36"/>
      <c r="AA376" s="36"/>
    </row>
    <row r="377" spans="1:27" ht="16.8">
      <c r="A377" s="36"/>
      <c r="B377" s="36" t="s">
        <v>320</v>
      </c>
      <c r="C377" s="36"/>
      <c r="D377" s="36"/>
      <c r="E377" s="36"/>
      <c r="F377" s="157">
        <v>6177942</v>
      </c>
      <c r="G377" s="157"/>
      <c r="H377" s="36"/>
      <c r="I377" s="105">
        <v>30585</v>
      </c>
      <c r="J377" s="36"/>
      <c r="K377" s="36"/>
      <c r="L377" s="36"/>
      <c r="M377" s="36"/>
      <c r="N377" s="36"/>
      <c r="O377" s="36"/>
      <c r="P377" s="36"/>
      <c r="Q377" s="36"/>
      <c r="R377" s="36"/>
      <c r="S377" s="36"/>
      <c r="T377" s="36"/>
      <c r="U377" s="68"/>
      <c r="V377" s="69"/>
      <c r="W377" s="70"/>
      <c r="X377" s="36"/>
      <c r="Y377" s="36"/>
      <c r="Z377" s="36"/>
      <c r="AA377" s="36"/>
    </row>
    <row r="378" spans="1:27" ht="16.8">
      <c r="A378" s="36"/>
      <c r="B378" s="36" t="s">
        <v>321</v>
      </c>
      <c r="C378" s="36"/>
      <c r="D378" s="36"/>
      <c r="E378" s="36"/>
      <c r="F378" s="157">
        <v>2095918</v>
      </c>
      <c r="G378" s="157"/>
      <c r="H378" s="36"/>
      <c r="I378" s="105">
        <v>10230</v>
      </c>
      <c r="J378" s="36"/>
      <c r="K378" s="36"/>
      <c r="L378" s="36"/>
      <c r="M378" s="36"/>
      <c r="N378" s="36"/>
      <c r="O378" s="36"/>
      <c r="P378" s="36"/>
      <c r="Q378" s="36"/>
      <c r="R378" s="36"/>
      <c r="S378" s="36"/>
      <c r="T378" s="36"/>
      <c r="U378" s="68"/>
      <c r="V378" s="69"/>
      <c r="W378" s="70"/>
      <c r="X378" s="36"/>
      <c r="Y378" s="36"/>
      <c r="Z378" s="36"/>
      <c r="AA378" s="36"/>
    </row>
    <row r="379" spans="1:27" ht="16.8">
      <c r="A379" s="36"/>
      <c r="B379" s="36" t="s">
        <v>322</v>
      </c>
      <c r="C379" s="36"/>
      <c r="D379" s="36"/>
      <c r="E379" s="36"/>
      <c r="F379" s="157">
        <v>17043237</v>
      </c>
      <c r="G379" s="157"/>
      <c r="H379" s="36"/>
      <c r="I379" s="105">
        <v>91319</v>
      </c>
      <c r="J379" s="36"/>
      <c r="K379" s="36"/>
      <c r="L379" s="36"/>
      <c r="M379" s="36"/>
      <c r="N379" s="36"/>
      <c r="O379" s="36"/>
      <c r="P379" s="36"/>
      <c r="Q379" s="36"/>
      <c r="R379" s="36"/>
      <c r="S379" s="36"/>
      <c r="T379" s="36"/>
      <c r="U379" s="68"/>
      <c r="V379" s="69"/>
      <c r="W379" s="70"/>
      <c r="X379" s="36"/>
      <c r="Y379" s="36"/>
      <c r="Z379" s="36"/>
      <c r="AA379" s="36"/>
    </row>
    <row r="380" spans="1:27" ht="16.8">
      <c r="A380" s="36"/>
      <c r="B380" s="36" t="s">
        <v>323</v>
      </c>
      <c r="C380" s="36"/>
      <c r="D380" s="36"/>
      <c r="E380" s="36"/>
      <c r="F380" s="157">
        <v>5642590</v>
      </c>
      <c r="G380" s="157"/>
      <c r="H380" s="36"/>
      <c r="I380" s="105">
        <v>30497</v>
      </c>
      <c r="J380" s="36"/>
      <c r="K380" s="36"/>
      <c r="L380" s="36"/>
      <c r="M380" s="36"/>
      <c r="N380" s="36"/>
      <c r="O380" s="36"/>
      <c r="P380" s="36"/>
      <c r="Q380" s="36"/>
      <c r="R380" s="36"/>
      <c r="S380" s="36"/>
      <c r="T380" s="36"/>
      <c r="U380" s="68"/>
      <c r="V380" s="69"/>
      <c r="W380" s="70"/>
      <c r="X380" s="36"/>
      <c r="Y380" s="36"/>
      <c r="Z380" s="36"/>
      <c r="AA380" s="36"/>
    </row>
    <row r="381" spans="1:27" ht="16.2" thickBot="1">
      <c r="A381" s="36"/>
      <c r="B381" s="36"/>
      <c r="C381" s="36"/>
      <c r="D381" s="36"/>
      <c r="E381" s="36"/>
      <c r="F381" s="36"/>
      <c r="G381" s="36"/>
      <c r="H381" s="36"/>
      <c r="I381" s="131">
        <v>162631</v>
      </c>
      <c r="J381" s="36"/>
      <c r="K381" s="36"/>
      <c r="L381" s="36"/>
      <c r="M381" s="36"/>
      <c r="N381" s="36"/>
      <c r="O381" s="36"/>
      <c r="P381" s="36"/>
      <c r="Q381" s="36"/>
      <c r="R381" s="36"/>
      <c r="S381" s="36"/>
      <c r="T381" s="36"/>
      <c r="U381" s="36"/>
      <c r="V381" s="36"/>
      <c r="W381" s="36"/>
      <c r="X381" s="36"/>
      <c r="Y381" s="36"/>
      <c r="Z381" s="36"/>
      <c r="AA381" s="36"/>
    </row>
    <row r="382" spans="1:27" ht="16.2" thickTop="1">
      <c r="A382" s="36"/>
      <c r="B382" s="36"/>
      <c r="C382" s="36"/>
      <c r="D382" s="36"/>
      <c r="E382" s="36"/>
      <c r="F382" s="34"/>
      <c r="G382" s="36"/>
      <c r="H382" s="36"/>
      <c r="J382" s="36"/>
      <c r="K382" s="36"/>
      <c r="L382" s="36"/>
      <c r="M382" s="36"/>
      <c r="N382" s="36"/>
      <c r="O382" s="36"/>
      <c r="P382" s="36"/>
      <c r="Q382" s="36"/>
      <c r="R382" s="36"/>
      <c r="S382" s="36"/>
      <c r="T382" s="36"/>
      <c r="U382" s="36"/>
      <c r="V382" s="36"/>
      <c r="W382" s="36"/>
      <c r="X382" s="36"/>
      <c r="Y382" s="36"/>
      <c r="Z382" s="36"/>
      <c r="AA382" s="36"/>
    </row>
    <row r="383" spans="1:27" ht="15.6">
      <c r="A383" s="36"/>
      <c r="B383" s="36"/>
      <c r="C383" s="36"/>
      <c r="D383" s="36"/>
      <c r="E383" s="36"/>
      <c r="F383" s="34"/>
      <c r="G383" s="36"/>
      <c r="H383" s="36"/>
      <c r="J383" s="36"/>
      <c r="K383" s="36"/>
      <c r="L383" s="36"/>
      <c r="M383" s="36"/>
      <c r="N383" s="36"/>
      <c r="O383" s="36"/>
      <c r="P383" s="36"/>
      <c r="Q383" s="36"/>
      <c r="R383" s="36"/>
      <c r="S383" s="36"/>
      <c r="T383" s="36"/>
      <c r="U383" s="36"/>
      <c r="V383" s="36"/>
      <c r="W383" s="36"/>
      <c r="X383" s="36"/>
      <c r="Y383" s="36"/>
      <c r="Z383" s="36"/>
      <c r="AA383" s="36"/>
    </row>
    <row r="384" spans="1:27" ht="15.6">
      <c r="A384" s="36"/>
      <c r="B384" s="36"/>
      <c r="C384" s="36"/>
      <c r="D384" s="36"/>
      <c r="E384" s="36"/>
      <c r="F384" s="34"/>
      <c r="G384" s="36"/>
      <c r="H384" s="36"/>
      <c r="J384" s="36"/>
      <c r="K384" s="36"/>
      <c r="L384" s="36"/>
      <c r="M384" s="36"/>
      <c r="N384" s="36"/>
      <c r="O384" s="36"/>
      <c r="P384" s="36"/>
      <c r="Q384" s="36"/>
      <c r="R384" s="36"/>
      <c r="S384" s="36"/>
      <c r="T384" s="36"/>
      <c r="U384" s="36"/>
      <c r="V384" s="36"/>
      <c r="W384" s="36"/>
      <c r="X384" s="36"/>
      <c r="Y384" s="36"/>
      <c r="Z384" s="36"/>
      <c r="AA384" s="36"/>
    </row>
    <row r="385" spans="1:27" ht="15.6">
      <c r="A385" s="36"/>
      <c r="B385" s="36"/>
      <c r="C385" s="36"/>
      <c r="D385" s="36"/>
      <c r="E385" s="36"/>
      <c r="F385" s="34"/>
      <c r="G385" s="36"/>
      <c r="H385" s="36"/>
      <c r="J385" s="36"/>
      <c r="K385" s="36"/>
      <c r="L385" s="36"/>
      <c r="M385" s="36"/>
      <c r="N385" s="36"/>
      <c r="O385" s="36"/>
      <c r="P385" s="36"/>
      <c r="Q385" s="36"/>
      <c r="R385" s="36"/>
      <c r="S385" s="36"/>
      <c r="T385" s="36"/>
      <c r="U385" s="36"/>
      <c r="V385" s="36"/>
      <c r="W385" s="36"/>
      <c r="X385" s="36"/>
      <c r="Y385" s="36"/>
      <c r="Z385" s="36"/>
      <c r="AA385" s="36"/>
    </row>
    <row r="386" spans="1:27" ht="15.6">
      <c r="A386" s="36"/>
      <c r="B386" s="36"/>
      <c r="C386" s="36"/>
      <c r="D386" s="36"/>
      <c r="E386" s="36"/>
      <c r="F386" s="34"/>
      <c r="G386" s="36"/>
      <c r="H386" s="36"/>
      <c r="J386" s="36"/>
      <c r="K386" s="36"/>
      <c r="L386" s="36"/>
      <c r="M386" s="36"/>
      <c r="N386" s="36"/>
      <c r="O386" s="36"/>
      <c r="P386" s="36"/>
      <c r="Q386" s="36"/>
      <c r="R386" s="36"/>
      <c r="S386" s="36"/>
      <c r="T386" s="36"/>
      <c r="U386" s="36"/>
      <c r="V386" s="36"/>
      <c r="W386" s="36"/>
      <c r="X386" s="36"/>
      <c r="Y386" s="36"/>
      <c r="Z386" s="36"/>
      <c r="AA386" s="36"/>
    </row>
    <row r="387" spans="1:27" ht="15.6">
      <c r="A387" s="36"/>
      <c r="B387" s="36"/>
      <c r="C387" s="36"/>
      <c r="D387" s="36"/>
      <c r="E387" s="36"/>
      <c r="F387" s="34"/>
      <c r="G387" s="36"/>
      <c r="H387" s="36"/>
      <c r="J387" s="36"/>
      <c r="K387" s="36"/>
      <c r="L387" s="36"/>
      <c r="M387" s="36"/>
      <c r="N387" s="36"/>
      <c r="O387" s="36"/>
      <c r="P387" s="36"/>
      <c r="Q387" s="36"/>
      <c r="R387" s="36"/>
      <c r="S387" s="36"/>
      <c r="T387" s="36"/>
      <c r="U387" s="36"/>
      <c r="V387" s="36"/>
      <c r="W387" s="36"/>
      <c r="X387" s="36"/>
      <c r="Y387" s="36"/>
      <c r="Z387" s="36"/>
      <c r="AA387" s="36"/>
    </row>
    <row r="388" spans="1:27" ht="15.6">
      <c r="A388" s="36"/>
      <c r="B388" s="36"/>
      <c r="C388" s="36"/>
      <c r="D388" s="36"/>
      <c r="E388" s="36"/>
      <c r="F388" s="34"/>
      <c r="G388" s="36"/>
      <c r="H388" s="36"/>
      <c r="J388" s="36"/>
      <c r="K388" s="36"/>
      <c r="L388" s="36"/>
      <c r="M388" s="36"/>
      <c r="N388" s="36"/>
      <c r="O388" s="36"/>
      <c r="P388" s="36"/>
      <c r="Q388" s="36"/>
      <c r="R388" s="36"/>
      <c r="S388" s="36"/>
      <c r="T388" s="36"/>
      <c r="U388" s="36"/>
      <c r="V388" s="36"/>
      <c r="W388" s="36"/>
      <c r="X388" s="36"/>
      <c r="Y388" s="36"/>
      <c r="Z388" s="36"/>
      <c r="AA388" s="36"/>
    </row>
    <row r="389" spans="1:27" ht="15.6">
      <c r="A389" s="36"/>
      <c r="B389" s="36"/>
      <c r="C389" s="36"/>
      <c r="D389" s="36"/>
      <c r="E389" s="36"/>
      <c r="F389" s="34"/>
      <c r="G389" s="36"/>
      <c r="H389" s="36"/>
      <c r="J389" s="36"/>
      <c r="K389" s="36"/>
      <c r="L389" s="36"/>
      <c r="M389" s="36"/>
      <c r="N389" s="36"/>
      <c r="O389" s="36"/>
      <c r="P389" s="36"/>
      <c r="Q389" s="36"/>
      <c r="R389" s="36"/>
      <c r="S389" s="36"/>
      <c r="T389" s="36"/>
      <c r="U389" s="36"/>
      <c r="V389" s="36"/>
      <c r="W389" s="36"/>
      <c r="X389" s="36"/>
      <c r="Y389" s="36"/>
      <c r="Z389" s="36"/>
      <c r="AA389" s="36"/>
    </row>
    <row r="390" spans="1:27" ht="15.6">
      <c r="A390" s="36"/>
      <c r="B390" s="36"/>
      <c r="C390" s="36"/>
      <c r="D390" s="36"/>
      <c r="E390" s="36"/>
      <c r="F390" s="34"/>
      <c r="G390" s="36"/>
      <c r="H390" s="36"/>
      <c r="J390" s="36"/>
      <c r="K390" s="36"/>
      <c r="L390" s="36"/>
      <c r="M390" s="36"/>
      <c r="N390" s="36"/>
      <c r="O390" s="36"/>
      <c r="P390" s="36"/>
      <c r="Q390" s="36"/>
      <c r="R390" s="36"/>
      <c r="S390" s="36"/>
      <c r="T390" s="36"/>
      <c r="U390" s="36"/>
      <c r="V390" s="36"/>
      <c r="W390" s="36"/>
      <c r="X390" s="36"/>
      <c r="Y390" s="36"/>
      <c r="Z390" s="36"/>
      <c r="AA390" s="36"/>
    </row>
    <row r="391" spans="1:27" ht="15.6">
      <c r="A391" s="36"/>
      <c r="B391" s="36"/>
      <c r="C391" s="36"/>
      <c r="D391" s="36"/>
      <c r="E391" s="36"/>
      <c r="F391" s="34"/>
      <c r="G391" s="36"/>
      <c r="H391" s="36"/>
      <c r="J391" s="36"/>
      <c r="K391" s="36"/>
      <c r="L391" s="36"/>
      <c r="M391" s="36"/>
      <c r="N391" s="36"/>
      <c r="O391" s="36"/>
      <c r="P391" s="36"/>
      <c r="Q391" s="36"/>
      <c r="R391" s="36"/>
      <c r="S391" s="36"/>
      <c r="T391" s="36"/>
      <c r="U391" s="36"/>
      <c r="V391" s="36"/>
      <c r="W391" s="36"/>
      <c r="X391" s="36"/>
      <c r="Y391" s="36"/>
      <c r="Z391" s="36"/>
      <c r="AA391" s="36"/>
    </row>
    <row r="392" spans="1:27" ht="15.6">
      <c r="A392" s="36"/>
      <c r="B392" s="36"/>
      <c r="C392" s="36"/>
      <c r="D392" s="36"/>
      <c r="E392" s="36"/>
      <c r="F392" s="34"/>
      <c r="G392" s="36"/>
      <c r="H392" s="36"/>
      <c r="J392" s="36"/>
      <c r="K392" s="36"/>
      <c r="L392" s="36"/>
      <c r="M392" s="36"/>
      <c r="N392" s="36"/>
      <c r="O392" s="36"/>
      <c r="P392" s="36"/>
      <c r="Q392" s="36"/>
      <c r="R392" s="36"/>
      <c r="S392" s="36"/>
      <c r="T392" s="36"/>
      <c r="U392" s="36"/>
      <c r="V392" s="36"/>
      <c r="W392" s="36"/>
      <c r="X392" s="36"/>
      <c r="Y392" s="36"/>
      <c r="Z392" s="36"/>
      <c r="AA392" s="36"/>
    </row>
    <row r="393" spans="1:27" ht="15.6">
      <c r="A393" s="36"/>
      <c r="B393" s="36"/>
      <c r="C393" s="36"/>
      <c r="D393" s="36"/>
      <c r="E393" s="36"/>
      <c r="F393" s="34"/>
      <c r="G393" s="36"/>
      <c r="H393" s="36"/>
      <c r="J393" s="36"/>
      <c r="K393" s="36"/>
      <c r="L393" s="36"/>
      <c r="M393" s="36"/>
      <c r="N393" s="36"/>
      <c r="O393" s="36"/>
      <c r="P393" s="36"/>
      <c r="Q393" s="36"/>
      <c r="R393" s="36"/>
      <c r="S393" s="36"/>
      <c r="T393" s="36"/>
      <c r="U393" s="36"/>
      <c r="V393" s="36"/>
      <c r="W393" s="36"/>
      <c r="X393" s="36"/>
      <c r="Y393" s="36"/>
      <c r="Z393" s="36"/>
      <c r="AA393" s="36"/>
    </row>
    <row r="394" spans="1:27" ht="15.6">
      <c r="A394" s="36"/>
      <c r="B394" s="36"/>
      <c r="C394" s="36"/>
      <c r="D394" s="36"/>
      <c r="E394" s="36"/>
      <c r="F394" s="34"/>
      <c r="G394" s="36"/>
      <c r="H394" s="36"/>
      <c r="J394" s="36"/>
      <c r="K394" s="36"/>
      <c r="L394" s="36"/>
      <c r="M394" s="36"/>
      <c r="N394" s="36"/>
      <c r="O394" s="36"/>
      <c r="P394" s="36"/>
      <c r="Q394" s="36"/>
      <c r="R394" s="36"/>
      <c r="S394" s="36"/>
      <c r="T394" s="36"/>
      <c r="U394" s="36"/>
      <c r="V394" s="36"/>
      <c r="W394" s="36"/>
      <c r="X394" s="36"/>
      <c r="Y394" s="36"/>
      <c r="Z394" s="36"/>
      <c r="AA394" s="36"/>
    </row>
    <row r="395" spans="1:27" ht="15.6">
      <c r="A395" s="36"/>
      <c r="B395" s="36"/>
      <c r="C395" s="36"/>
      <c r="D395" s="36"/>
      <c r="E395" s="36"/>
      <c r="F395" s="34"/>
      <c r="G395" s="36"/>
      <c r="H395" s="36"/>
      <c r="J395" s="36"/>
      <c r="K395" s="36"/>
      <c r="L395" s="36"/>
      <c r="M395" s="36"/>
      <c r="N395" s="36"/>
      <c r="O395" s="36"/>
      <c r="P395" s="36"/>
      <c r="Q395" s="36"/>
      <c r="R395" s="36"/>
      <c r="S395" s="36"/>
      <c r="T395" s="36"/>
      <c r="U395" s="36"/>
      <c r="V395" s="36"/>
      <c r="W395" s="36"/>
      <c r="X395" s="36"/>
      <c r="Y395" s="36"/>
      <c r="Z395" s="36"/>
      <c r="AA395" s="36"/>
    </row>
    <row r="396" spans="1:27" ht="15.6">
      <c r="A396" s="36"/>
      <c r="B396" s="36"/>
      <c r="C396" s="36"/>
      <c r="D396" s="36"/>
      <c r="E396" s="36"/>
      <c r="F396" s="34"/>
      <c r="G396" s="36"/>
      <c r="H396" s="36"/>
      <c r="J396" s="36"/>
      <c r="K396" s="36"/>
      <c r="L396" s="36"/>
      <c r="M396" s="36"/>
      <c r="N396" s="36"/>
      <c r="O396" s="36"/>
      <c r="P396" s="36"/>
      <c r="Q396" s="36"/>
      <c r="R396" s="36"/>
      <c r="S396" s="36"/>
      <c r="T396" s="36"/>
      <c r="U396" s="36"/>
      <c r="V396" s="36"/>
      <c r="W396" s="36"/>
      <c r="X396" s="36"/>
      <c r="Y396" s="36"/>
      <c r="Z396" s="36"/>
      <c r="AA396" s="36"/>
    </row>
    <row r="397" spans="1:27" ht="15.6">
      <c r="A397" s="36"/>
      <c r="B397" s="36"/>
      <c r="C397" s="36"/>
      <c r="D397" s="36"/>
      <c r="E397" s="36"/>
      <c r="F397" s="34"/>
      <c r="G397" s="36"/>
      <c r="H397" s="36"/>
      <c r="J397" s="36"/>
      <c r="K397" s="36"/>
      <c r="L397" s="36"/>
      <c r="M397" s="36"/>
      <c r="N397" s="36"/>
      <c r="O397" s="36"/>
      <c r="P397" s="36"/>
      <c r="Q397" s="36"/>
      <c r="R397" s="36"/>
      <c r="S397" s="36"/>
      <c r="T397" s="36"/>
      <c r="U397" s="36"/>
      <c r="V397" s="36"/>
      <c r="W397" s="36"/>
      <c r="X397" s="36"/>
      <c r="Y397" s="36"/>
      <c r="Z397" s="36"/>
      <c r="AA397" s="36"/>
    </row>
    <row r="398" spans="1:27" ht="15.6">
      <c r="A398" s="36"/>
      <c r="B398" s="36"/>
      <c r="C398" s="36"/>
      <c r="D398" s="36"/>
      <c r="E398" s="36"/>
      <c r="F398" s="34"/>
      <c r="G398" s="36"/>
      <c r="H398" s="36"/>
      <c r="J398" s="36"/>
      <c r="K398" s="36"/>
      <c r="L398" s="36"/>
      <c r="M398" s="36"/>
      <c r="N398" s="36"/>
      <c r="O398" s="36"/>
      <c r="P398" s="36"/>
      <c r="Q398" s="36"/>
      <c r="R398" s="36"/>
      <c r="S398" s="36"/>
      <c r="T398" s="36"/>
      <c r="U398" s="36"/>
      <c r="V398" s="36"/>
      <c r="W398" s="36"/>
      <c r="X398" s="36"/>
      <c r="Y398" s="36"/>
      <c r="Z398" s="36"/>
      <c r="AA398" s="36"/>
    </row>
    <row r="399" spans="1:27" ht="15.6">
      <c r="A399" s="36"/>
      <c r="B399" s="36"/>
      <c r="C399" s="36"/>
      <c r="D399" s="36"/>
      <c r="E399" s="36"/>
      <c r="F399" s="34"/>
      <c r="G399" s="36"/>
      <c r="H399" s="36"/>
      <c r="J399" s="36"/>
      <c r="K399" s="36"/>
      <c r="L399" s="36"/>
      <c r="M399" s="36"/>
      <c r="N399" s="36"/>
      <c r="O399" s="36"/>
      <c r="P399" s="36"/>
      <c r="Q399" s="36"/>
      <c r="R399" s="36"/>
      <c r="S399" s="36"/>
      <c r="T399" s="36"/>
      <c r="U399" s="36"/>
      <c r="V399" s="36"/>
      <c r="W399" s="36"/>
      <c r="X399" s="36"/>
      <c r="Y399" s="36"/>
      <c r="Z399" s="36"/>
      <c r="AA399" s="36"/>
    </row>
    <row r="400" spans="1:27" ht="15.6">
      <c r="A400" s="36"/>
      <c r="C400" s="36"/>
      <c r="D400" s="36"/>
      <c r="E400" s="36"/>
      <c r="F400" s="34"/>
      <c r="G400" s="36"/>
      <c r="H400" s="36"/>
      <c r="J400" s="36"/>
      <c r="K400" s="36"/>
      <c r="L400" s="36"/>
      <c r="M400" s="36"/>
      <c r="N400" s="36"/>
      <c r="O400" s="36"/>
      <c r="P400" s="36"/>
      <c r="Q400" s="36"/>
      <c r="R400" s="36"/>
      <c r="S400" s="36"/>
      <c r="T400" s="36"/>
      <c r="U400" s="36"/>
      <c r="V400" s="36"/>
      <c r="W400" s="36"/>
      <c r="X400" s="36"/>
      <c r="Y400" s="36"/>
      <c r="Z400" s="36"/>
      <c r="AA400" s="36"/>
    </row>
    <row r="401" spans="1:27" ht="15.6">
      <c r="A401" s="36"/>
      <c r="B401" s="36"/>
      <c r="C401" s="36"/>
      <c r="D401" s="36"/>
      <c r="E401" s="36"/>
      <c r="F401" s="34"/>
      <c r="G401" s="36"/>
      <c r="H401" s="36"/>
      <c r="J401" s="36"/>
      <c r="K401" s="36"/>
      <c r="L401" s="36"/>
      <c r="M401" s="36"/>
      <c r="N401" s="36"/>
      <c r="O401" s="36"/>
      <c r="P401" s="36"/>
      <c r="Q401" s="36"/>
      <c r="R401" s="36"/>
      <c r="S401" s="36"/>
      <c r="T401" s="36"/>
      <c r="U401" s="36"/>
      <c r="V401" s="36"/>
      <c r="W401" s="36"/>
      <c r="X401" s="36"/>
      <c r="Y401" s="36"/>
      <c r="Z401" s="36"/>
      <c r="AA401" s="36"/>
    </row>
    <row r="402" spans="1:27" ht="15.6">
      <c r="A402" s="36"/>
      <c r="B402" s="36"/>
      <c r="C402" s="36"/>
      <c r="D402" s="36"/>
      <c r="E402" s="36"/>
      <c r="F402" s="34"/>
      <c r="G402" s="36"/>
      <c r="H402" s="36"/>
      <c r="J402" s="36"/>
      <c r="K402" s="36"/>
      <c r="L402" s="36"/>
      <c r="M402" s="36"/>
      <c r="N402" s="36"/>
      <c r="O402" s="36"/>
      <c r="P402" s="36"/>
      <c r="Q402" s="36"/>
      <c r="R402" s="36"/>
      <c r="S402" s="36"/>
      <c r="T402" s="36"/>
      <c r="U402" s="36"/>
      <c r="V402" s="36"/>
      <c r="W402" s="36"/>
      <c r="X402" s="36"/>
      <c r="Y402" s="36"/>
      <c r="Z402" s="36"/>
      <c r="AA402" s="36"/>
    </row>
    <row r="403" spans="1:27" ht="15.6">
      <c r="A403" s="36"/>
      <c r="B403" s="36"/>
      <c r="C403" s="36"/>
      <c r="D403" s="36"/>
      <c r="E403" s="36"/>
      <c r="F403" s="34"/>
      <c r="G403" s="36"/>
      <c r="H403" s="36"/>
      <c r="J403" s="36"/>
      <c r="K403" s="36"/>
      <c r="L403" s="36"/>
      <c r="M403" s="36"/>
      <c r="N403" s="36"/>
      <c r="O403" s="36"/>
      <c r="P403" s="36"/>
      <c r="Q403" s="36"/>
      <c r="R403" s="36"/>
      <c r="S403" s="36"/>
      <c r="T403" s="36"/>
      <c r="U403" s="36"/>
      <c r="V403" s="36"/>
      <c r="W403" s="36"/>
      <c r="X403" s="36"/>
      <c r="Y403" s="36"/>
      <c r="Z403" s="36"/>
      <c r="AA403" s="36"/>
    </row>
    <row r="404" spans="1:27" ht="15.6">
      <c r="A404" s="36"/>
      <c r="B404" s="36"/>
      <c r="C404" s="36"/>
      <c r="D404" s="36"/>
      <c r="E404" s="36"/>
      <c r="F404" s="34"/>
      <c r="G404" s="36"/>
      <c r="H404" s="36"/>
      <c r="J404" s="36"/>
      <c r="K404" s="36"/>
      <c r="L404" s="36"/>
      <c r="M404" s="36"/>
      <c r="N404" s="36"/>
      <c r="O404" s="36"/>
      <c r="P404" s="36"/>
      <c r="Q404" s="36"/>
      <c r="R404" s="36"/>
      <c r="S404" s="36"/>
      <c r="T404" s="36"/>
      <c r="U404" s="36"/>
      <c r="V404" s="36"/>
      <c r="W404" s="36"/>
      <c r="X404" s="36"/>
      <c r="Y404" s="36"/>
      <c r="Z404" s="36"/>
      <c r="AA404" s="36"/>
    </row>
    <row r="405" spans="1:27" ht="15.6">
      <c r="A405" s="36"/>
      <c r="B405" s="36"/>
      <c r="C405" s="36"/>
      <c r="D405" s="36"/>
      <c r="E405" s="36"/>
      <c r="F405" s="34"/>
      <c r="G405" s="36"/>
      <c r="H405" s="36"/>
      <c r="J405" s="36"/>
      <c r="K405" s="36"/>
      <c r="L405" s="36"/>
      <c r="M405" s="36"/>
      <c r="N405" s="36"/>
      <c r="O405" s="36"/>
      <c r="P405" s="36"/>
      <c r="Q405" s="36"/>
      <c r="R405" s="36"/>
      <c r="S405" s="36"/>
      <c r="T405" s="36"/>
      <c r="U405" s="36"/>
      <c r="V405" s="36"/>
      <c r="W405" s="36"/>
      <c r="X405" s="36"/>
      <c r="Y405" s="36"/>
      <c r="Z405" s="36"/>
      <c r="AA405" s="36"/>
    </row>
    <row r="406" spans="1:27" ht="15.6">
      <c r="A406" s="36"/>
      <c r="B406" s="36"/>
      <c r="C406" s="36"/>
      <c r="D406" s="36"/>
      <c r="E406" s="36"/>
      <c r="F406" s="34"/>
      <c r="G406" s="36"/>
      <c r="H406" s="36"/>
      <c r="J406" s="36"/>
      <c r="K406" s="36"/>
      <c r="L406" s="36"/>
      <c r="M406" s="36"/>
      <c r="N406" s="36"/>
      <c r="O406" s="36"/>
      <c r="P406" s="36"/>
      <c r="Q406" s="36"/>
      <c r="R406" s="36"/>
      <c r="S406" s="36"/>
      <c r="T406" s="36"/>
      <c r="U406" s="36"/>
      <c r="V406" s="36"/>
      <c r="W406" s="36"/>
      <c r="X406" s="36"/>
      <c r="Y406" s="36"/>
      <c r="Z406" s="36"/>
      <c r="AA406" s="36"/>
    </row>
    <row r="407" spans="1:27" ht="15.6">
      <c r="A407" s="36"/>
      <c r="B407" s="36"/>
      <c r="C407" s="36"/>
      <c r="D407" s="36"/>
      <c r="E407" s="36"/>
      <c r="F407" s="34"/>
      <c r="G407" s="36"/>
      <c r="H407" s="36"/>
      <c r="J407" s="36"/>
      <c r="K407" s="36"/>
      <c r="L407" s="36"/>
      <c r="M407" s="36"/>
      <c r="N407" s="36"/>
      <c r="O407" s="36"/>
      <c r="P407" s="36"/>
      <c r="Q407" s="36"/>
      <c r="R407" s="36"/>
      <c r="S407" s="36"/>
      <c r="T407" s="36"/>
      <c r="U407" s="36"/>
      <c r="V407" s="36"/>
      <c r="W407" s="36"/>
      <c r="X407" s="36"/>
      <c r="Y407" s="36"/>
      <c r="Z407" s="36"/>
      <c r="AA407" s="36"/>
    </row>
    <row r="408" spans="1:27" ht="15.6">
      <c r="A408" s="36"/>
      <c r="B408" s="36"/>
      <c r="C408" s="36"/>
      <c r="D408" s="36"/>
      <c r="E408" s="36"/>
      <c r="F408" s="34"/>
      <c r="G408" s="36"/>
      <c r="H408" s="36"/>
      <c r="J408" s="36"/>
      <c r="K408" s="36"/>
      <c r="L408" s="36"/>
      <c r="M408" s="36"/>
      <c r="N408" s="36"/>
      <c r="O408" s="36"/>
      <c r="P408" s="36"/>
      <c r="Q408" s="36"/>
      <c r="R408" s="36"/>
      <c r="S408" s="36"/>
      <c r="T408" s="36"/>
      <c r="U408" s="36"/>
      <c r="V408" s="36"/>
      <c r="W408" s="36"/>
      <c r="X408" s="36"/>
      <c r="Y408" s="36"/>
      <c r="Z408" s="36"/>
      <c r="AA408" s="36"/>
    </row>
    <row r="409" spans="1:27" ht="15.6">
      <c r="A409" s="36"/>
      <c r="B409" s="36"/>
      <c r="C409" s="36"/>
      <c r="D409" s="36"/>
      <c r="E409" s="36"/>
      <c r="F409" s="34"/>
      <c r="G409" s="36"/>
      <c r="H409" s="36"/>
      <c r="J409" s="36"/>
      <c r="K409" s="36"/>
      <c r="L409" s="36"/>
      <c r="M409" s="36"/>
      <c r="N409" s="36"/>
      <c r="O409" s="36"/>
      <c r="P409" s="36"/>
      <c r="Q409" s="36"/>
      <c r="R409" s="36"/>
      <c r="S409" s="36"/>
      <c r="T409" s="36"/>
      <c r="U409" s="36"/>
      <c r="V409" s="36"/>
      <c r="W409" s="36"/>
      <c r="X409" s="36"/>
      <c r="Y409" s="36"/>
      <c r="Z409" s="36"/>
      <c r="AA409" s="36"/>
    </row>
    <row r="410" spans="1:27" ht="15.6">
      <c r="A410" s="36"/>
      <c r="B410" s="36"/>
      <c r="C410" s="36"/>
      <c r="D410" s="36"/>
      <c r="E410" s="36"/>
      <c r="F410" s="34"/>
      <c r="G410" s="36"/>
      <c r="H410" s="36"/>
      <c r="J410" s="36"/>
      <c r="K410" s="36"/>
      <c r="L410" s="36"/>
      <c r="M410" s="36"/>
      <c r="N410" s="36"/>
      <c r="O410" s="36"/>
      <c r="P410" s="36"/>
      <c r="Q410" s="36"/>
      <c r="R410" s="36"/>
      <c r="S410" s="36"/>
      <c r="T410" s="36"/>
      <c r="U410" s="36"/>
      <c r="V410" s="36"/>
      <c r="W410" s="36"/>
      <c r="X410" s="36"/>
      <c r="Y410" s="36"/>
      <c r="Z410" s="36"/>
      <c r="AA410" s="36"/>
    </row>
    <row r="411" spans="1:27" ht="15.6">
      <c r="A411" s="36"/>
      <c r="B411" s="36"/>
      <c r="C411" s="36"/>
      <c r="D411" s="36"/>
      <c r="E411" s="36"/>
      <c r="F411" s="34"/>
      <c r="G411" s="36"/>
      <c r="H411" s="36"/>
      <c r="J411" s="36"/>
      <c r="K411" s="36"/>
      <c r="L411" s="36"/>
      <c r="M411" s="36"/>
      <c r="N411" s="36"/>
      <c r="O411" s="36"/>
      <c r="P411" s="36"/>
      <c r="Q411" s="36"/>
      <c r="R411" s="36"/>
      <c r="S411" s="36"/>
      <c r="T411" s="36"/>
      <c r="U411" s="36"/>
      <c r="V411" s="36"/>
      <c r="W411" s="36"/>
      <c r="X411" s="36"/>
      <c r="Y411" s="36"/>
      <c r="Z411" s="36"/>
      <c r="AA411" s="36"/>
    </row>
    <row r="412" spans="1:27" ht="15.6">
      <c r="A412" s="36"/>
      <c r="B412" s="36"/>
      <c r="C412" s="36"/>
      <c r="D412" s="36"/>
      <c r="E412" s="36"/>
      <c r="F412" s="34"/>
      <c r="G412" s="36"/>
      <c r="H412" s="36"/>
      <c r="J412" s="36"/>
      <c r="K412" s="36"/>
      <c r="L412" s="36"/>
      <c r="M412" s="36"/>
      <c r="N412" s="36"/>
      <c r="O412" s="36"/>
      <c r="P412" s="36"/>
      <c r="Q412" s="36"/>
      <c r="R412" s="36"/>
      <c r="S412" s="36"/>
      <c r="T412" s="36"/>
      <c r="U412" s="36"/>
      <c r="V412" s="36"/>
      <c r="W412" s="36"/>
      <c r="X412" s="36"/>
      <c r="Y412" s="36"/>
      <c r="Z412" s="36"/>
      <c r="AA412" s="36"/>
    </row>
    <row r="413" spans="1:27" ht="16.8">
      <c r="A413" s="36"/>
      <c r="B413" s="36"/>
      <c r="C413" s="36"/>
      <c r="D413" s="36"/>
      <c r="E413" s="36"/>
      <c r="F413" s="34"/>
      <c r="G413" s="36"/>
      <c r="H413" s="34"/>
      <c r="J413" s="36"/>
      <c r="L413" s="36"/>
      <c r="M413" s="36"/>
      <c r="N413" s="36"/>
      <c r="O413" s="36"/>
      <c r="P413" s="36"/>
      <c r="Q413" s="36"/>
      <c r="R413" s="36"/>
      <c r="S413" s="36"/>
      <c r="T413" s="36"/>
      <c r="U413" s="36"/>
      <c r="W413" s="102"/>
      <c r="X413" s="71"/>
      <c r="Z413" s="36"/>
      <c r="AA413" s="36"/>
    </row>
    <row r="414" spans="1:27" ht="18">
      <c r="A414" s="36"/>
      <c r="B414" s="130" t="s">
        <v>326</v>
      </c>
      <c r="C414" s="36"/>
      <c r="D414" s="36"/>
      <c r="E414" s="36"/>
      <c r="F414" s="36"/>
      <c r="G414" s="36"/>
      <c r="H414" s="36"/>
      <c r="I414" s="36"/>
      <c r="J414" s="36"/>
      <c r="K414" s="36"/>
      <c r="L414" s="36"/>
      <c r="M414" s="36"/>
      <c r="N414" s="36"/>
      <c r="O414" s="36"/>
      <c r="P414" s="36"/>
      <c r="Q414" s="36"/>
      <c r="R414" s="36"/>
      <c r="S414" s="36"/>
      <c r="T414" s="36"/>
      <c r="U414" s="36"/>
      <c r="W414" s="102"/>
      <c r="X414" s="71"/>
      <c r="Y414" s="44"/>
      <c r="Z414" s="44"/>
      <c r="AA414" s="36"/>
    </row>
    <row r="415" spans="1:27" ht="16.8">
      <c r="A415" s="36"/>
      <c r="B415" s="36"/>
      <c r="C415" s="36"/>
      <c r="D415" s="36"/>
      <c r="E415" s="36"/>
      <c r="F415" s="36"/>
      <c r="G415" s="36"/>
      <c r="H415" s="36"/>
      <c r="I415" s="36"/>
      <c r="J415" s="36"/>
      <c r="K415" s="36"/>
      <c r="L415" s="36"/>
      <c r="M415" s="36"/>
      <c r="N415" s="36"/>
      <c r="O415" s="36"/>
      <c r="P415" s="36"/>
      <c r="Q415" s="36"/>
      <c r="R415" s="36"/>
      <c r="S415" s="36"/>
      <c r="T415" s="36"/>
      <c r="U415" s="36"/>
      <c r="V415" s="68"/>
      <c r="W415" s="100"/>
      <c r="X415" s="69"/>
      <c r="AA415" s="36"/>
    </row>
    <row r="416" spans="1:27" ht="16.8">
      <c r="A416" s="36"/>
      <c r="B416" s="43" t="s">
        <v>327</v>
      </c>
      <c r="C416" s="36"/>
      <c r="D416" s="36"/>
      <c r="E416" s="36"/>
      <c r="F416" s="36"/>
      <c r="G416" s="36"/>
      <c r="H416" s="36"/>
      <c r="I416" s="36"/>
      <c r="J416" s="36"/>
      <c r="K416" s="36"/>
      <c r="L416" s="36"/>
      <c r="M416" s="36"/>
      <c r="N416" s="36"/>
      <c r="O416" s="36"/>
      <c r="P416" s="36"/>
      <c r="Q416" s="36"/>
      <c r="R416" s="36"/>
      <c r="S416" s="36"/>
      <c r="T416" s="36"/>
      <c r="U416" s="36"/>
      <c r="V416" s="68"/>
      <c r="W416" s="100"/>
      <c r="X416" s="69"/>
      <c r="AA416" s="36"/>
    </row>
    <row r="417" spans="1:27" ht="16.8">
      <c r="A417" s="36"/>
      <c r="B417" s="43" t="s">
        <v>331</v>
      </c>
      <c r="C417" s="36"/>
      <c r="D417" s="36"/>
      <c r="E417" s="36"/>
      <c r="F417" s="36"/>
      <c r="G417" s="36"/>
      <c r="H417" s="36"/>
      <c r="I417" s="36"/>
      <c r="J417" s="36"/>
      <c r="K417" s="36"/>
      <c r="L417" s="36"/>
      <c r="M417" s="36"/>
      <c r="N417" s="36"/>
      <c r="O417" s="36"/>
      <c r="P417" s="36"/>
      <c r="Q417" s="36"/>
      <c r="R417" s="36"/>
      <c r="S417" s="36"/>
      <c r="T417" s="36"/>
      <c r="U417" s="36"/>
      <c r="V417" s="68"/>
      <c r="W417" s="100"/>
      <c r="X417" s="69"/>
      <c r="AA417" s="36"/>
    </row>
    <row r="418" spans="1:27" ht="16.8">
      <c r="A418" s="36"/>
      <c r="B418" s="43" t="s">
        <v>330</v>
      </c>
      <c r="C418" s="36"/>
      <c r="D418" s="36"/>
      <c r="E418" s="36"/>
      <c r="F418" s="36"/>
      <c r="G418" s="36"/>
      <c r="H418" s="36"/>
      <c r="I418" s="36"/>
      <c r="J418" s="36"/>
      <c r="K418" s="36"/>
      <c r="L418" s="36"/>
      <c r="M418" s="36"/>
      <c r="N418" s="36"/>
      <c r="O418" s="36"/>
      <c r="P418" s="36"/>
      <c r="Q418" s="36"/>
      <c r="R418" s="36"/>
      <c r="S418" s="36"/>
      <c r="T418" s="36"/>
      <c r="U418" s="36"/>
      <c r="V418" s="68"/>
      <c r="W418" s="100"/>
      <c r="X418" s="69"/>
      <c r="AA418" s="36"/>
    </row>
    <row r="419" spans="1:27" ht="16.8">
      <c r="A419" s="36"/>
      <c r="B419" s="43"/>
      <c r="C419" s="36"/>
      <c r="D419" s="36"/>
      <c r="E419" s="36"/>
      <c r="F419" s="36"/>
      <c r="G419" s="36"/>
      <c r="H419" s="36"/>
      <c r="I419" s="36"/>
      <c r="J419" s="36"/>
      <c r="K419" s="36"/>
      <c r="L419" s="36"/>
      <c r="M419" s="36"/>
      <c r="N419" s="36"/>
      <c r="O419" s="36"/>
      <c r="P419" s="36"/>
      <c r="Q419" s="36"/>
      <c r="R419" s="36"/>
      <c r="S419" s="36"/>
      <c r="T419" s="36"/>
      <c r="U419" s="36"/>
      <c r="V419" s="68"/>
      <c r="W419" s="100"/>
      <c r="X419" s="69"/>
      <c r="AA419" s="36"/>
    </row>
    <row r="420" spans="1:27" ht="16.8">
      <c r="A420" s="36"/>
      <c r="B420" s="36" t="s">
        <v>328</v>
      </c>
      <c r="C420" s="36"/>
      <c r="D420" s="36"/>
      <c r="E420" s="36" t="s">
        <v>329</v>
      </c>
      <c r="F420" s="36"/>
      <c r="G420" s="36"/>
      <c r="H420" s="36"/>
      <c r="I420" s="36"/>
      <c r="J420" s="36"/>
      <c r="K420" s="36"/>
      <c r="L420" s="36"/>
      <c r="M420" s="36"/>
      <c r="N420" s="36"/>
      <c r="O420" s="36"/>
      <c r="P420" s="36"/>
      <c r="Q420" s="36"/>
      <c r="R420" s="36"/>
      <c r="S420" s="36"/>
      <c r="T420" s="36"/>
      <c r="U420" s="36"/>
      <c r="V420" s="68"/>
      <c r="W420" s="100"/>
      <c r="X420" s="69"/>
      <c r="AA420" s="36"/>
    </row>
    <row r="421" spans="1:27" ht="16.8">
      <c r="A421" s="36"/>
      <c r="B421" s="36" t="s">
        <v>318</v>
      </c>
      <c r="C421" s="36"/>
      <c r="D421" s="36"/>
      <c r="E421" s="36" t="s">
        <v>317</v>
      </c>
      <c r="F421" s="36"/>
      <c r="G421" s="36"/>
      <c r="H421" s="36"/>
      <c r="I421" s="36"/>
      <c r="J421" s="36"/>
      <c r="K421" s="36"/>
      <c r="L421" s="36"/>
      <c r="M421" s="36"/>
      <c r="N421" s="36"/>
      <c r="O421" s="36"/>
      <c r="P421" s="36"/>
      <c r="Q421" s="36"/>
      <c r="R421" s="36"/>
      <c r="S421" s="36"/>
      <c r="T421" s="36"/>
      <c r="U421" s="36"/>
      <c r="V421" s="68"/>
      <c r="W421" s="100"/>
      <c r="X421" s="69"/>
      <c r="AA421" s="36"/>
    </row>
    <row r="422" spans="1:27" ht="16.8">
      <c r="A422" s="36"/>
      <c r="B422" s="36"/>
      <c r="C422" s="36"/>
      <c r="D422" s="36"/>
      <c r="E422" s="36"/>
      <c r="F422" s="36"/>
      <c r="G422" s="36"/>
      <c r="H422" s="36"/>
      <c r="I422" s="36"/>
      <c r="J422" s="36"/>
      <c r="K422" s="36"/>
      <c r="L422" s="36"/>
      <c r="M422" s="36"/>
      <c r="N422" s="36"/>
      <c r="O422" s="36"/>
      <c r="P422" s="36"/>
      <c r="Q422" s="36"/>
      <c r="R422" s="36"/>
      <c r="S422" s="36"/>
      <c r="T422" s="36"/>
      <c r="U422" s="36"/>
      <c r="V422" s="68"/>
      <c r="W422" s="100"/>
      <c r="X422" s="69"/>
      <c r="AA422" s="36"/>
    </row>
    <row r="423" spans="1:27" ht="16.8">
      <c r="A423" s="36"/>
      <c r="B423" s="107" t="s">
        <v>319</v>
      </c>
      <c r="C423" s="36"/>
      <c r="D423" s="36"/>
      <c r="E423" s="36"/>
      <c r="F423" s="161" t="s">
        <v>77</v>
      </c>
      <c r="G423" s="161"/>
      <c r="H423" s="161" t="s">
        <v>325</v>
      </c>
      <c r="I423" s="161"/>
      <c r="J423" s="36"/>
      <c r="K423" s="36"/>
      <c r="L423" s="36"/>
      <c r="M423" s="36"/>
      <c r="N423" s="36"/>
      <c r="O423" s="36"/>
      <c r="P423" s="36"/>
      <c r="Q423" s="36"/>
      <c r="R423" s="36"/>
      <c r="S423" s="36"/>
      <c r="T423" s="36"/>
      <c r="U423" s="36"/>
      <c r="V423" s="68"/>
      <c r="W423" s="100"/>
      <c r="X423" s="69"/>
      <c r="AA423" s="36"/>
    </row>
    <row r="424" spans="1:27" ht="16.8">
      <c r="A424" s="36"/>
      <c r="B424" s="36" t="s">
        <v>332</v>
      </c>
      <c r="C424" s="36"/>
      <c r="D424" s="36"/>
      <c r="E424" s="36"/>
      <c r="F424" s="157">
        <v>14523305</v>
      </c>
      <c r="G424" s="157">
        <v>14523305</v>
      </c>
      <c r="H424" s="36"/>
      <c r="I424" s="105">
        <v>76618</v>
      </c>
      <c r="J424" s="36"/>
      <c r="K424" s="36"/>
      <c r="L424" s="34"/>
      <c r="M424" s="34"/>
      <c r="N424" s="36"/>
      <c r="O424" s="36"/>
      <c r="P424" s="36"/>
      <c r="Q424" s="36"/>
      <c r="R424" s="36"/>
      <c r="S424" s="36"/>
      <c r="T424" s="36"/>
      <c r="U424" s="36"/>
      <c r="V424" s="68"/>
      <c r="W424" s="100"/>
      <c r="X424" s="69"/>
      <c r="AA424" s="36"/>
    </row>
    <row r="425" spans="1:27" ht="16.8">
      <c r="A425" s="36"/>
      <c r="B425" s="36" t="s">
        <v>333</v>
      </c>
      <c r="C425" s="36"/>
      <c r="D425" s="36"/>
      <c r="E425" s="36"/>
      <c r="F425" s="157">
        <v>4838489</v>
      </c>
      <c r="G425" s="157">
        <v>4838489</v>
      </c>
      <c r="H425" s="36"/>
      <c r="I425" s="105">
        <v>25352</v>
      </c>
      <c r="J425" s="36"/>
      <c r="K425" s="36"/>
      <c r="L425" s="34"/>
      <c r="M425" s="34"/>
      <c r="N425" s="36"/>
      <c r="O425" s="36"/>
      <c r="P425" s="36"/>
      <c r="Q425" s="36"/>
      <c r="R425" s="36"/>
      <c r="S425" s="36"/>
      <c r="T425" s="36"/>
      <c r="U425" s="36"/>
      <c r="V425" s="68"/>
      <c r="W425" s="100"/>
      <c r="X425" s="69"/>
      <c r="AA425" s="36"/>
    </row>
    <row r="426" spans="1:27" ht="16.8">
      <c r="A426" s="36"/>
      <c r="B426" s="36" t="s">
        <v>334</v>
      </c>
      <c r="C426" s="36"/>
      <c r="D426" s="36"/>
      <c r="E426" s="36"/>
      <c r="F426" s="157">
        <v>8697874</v>
      </c>
      <c r="G426" s="157">
        <v>8697874</v>
      </c>
      <c r="H426" s="36"/>
      <c r="I426" s="105">
        <v>45286</v>
      </c>
      <c r="J426" s="36"/>
      <c r="K426" s="36"/>
      <c r="L426" s="34"/>
      <c r="M426" s="34"/>
      <c r="N426" s="36"/>
      <c r="O426" s="36"/>
      <c r="P426" s="36"/>
      <c r="Q426" s="36"/>
      <c r="R426" s="36"/>
      <c r="S426" s="36"/>
      <c r="T426" s="36"/>
      <c r="U426" s="36"/>
      <c r="V426" s="68"/>
      <c r="W426" s="100"/>
      <c r="X426" s="69"/>
      <c r="AA426" s="36"/>
    </row>
    <row r="427" spans="1:27" ht="16.8">
      <c r="A427" s="36"/>
      <c r="B427" s="36" t="s">
        <v>335</v>
      </c>
      <c r="C427" s="36"/>
      <c r="D427" s="36"/>
      <c r="E427" s="36"/>
      <c r="F427" s="157">
        <v>2900019</v>
      </c>
      <c r="G427" s="157">
        <v>2900019</v>
      </c>
      <c r="H427" s="36"/>
      <c r="I427" s="105">
        <v>15375</v>
      </c>
      <c r="J427" s="36"/>
      <c r="K427" s="36"/>
      <c r="L427" s="34"/>
      <c r="M427" s="34"/>
      <c r="N427" s="36"/>
      <c r="O427" s="36"/>
      <c r="P427" s="36"/>
      <c r="Q427" s="36"/>
      <c r="R427" s="36"/>
      <c r="S427" s="36"/>
      <c r="T427" s="36"/>
      <c r="U427" s="36"/>
      <c r="V427" s="68"/>
      <c r="W427" s="100"/>
      <c r="X427" s="69"/>
      <c r="AA427" s="36"/>
    </row>
    <row r="428" spans="1:27" ht="17.399999999999999" thickBot="1">
      <c r="A428" s="36"/>
      <c r="B428" s="36"/>
      <c r="C428" s="36"/>
      <c r="D428" s="36"/>
      <c r="E428" s="36"/>
      <c r="F428" s="36"/>
      <c r="G428" s="36"/>
      <c r="H428" s="36"/>
      <c r="I428" s="132">
        <v>162631</v>
      </c>
      <c r="J428" s="36"/>
      <c r="K428" s="36"/>
      <c r="L428" s="36"/>
      <c r="M428" s="36"/>
      <c r="N428" s="36"/>
      <c r="O428" s="36"/>
      <c r="P428" s="36"/>
      <c r="Q428" s="36"/>
      <c r="R428" s="36"/>
      <c r="S428" s="36"/>
      <c r="T428" s="36"/>
      <c r="U428" s="36"/>
      <c r="V428" s="68"/>
      <c r="W428" s="100"/>
      <c r="X428" s="69"/>
      <c r="AA428" s="36"/>
    </row>
    <row r="429" spans="1:27" ht="17.399999999999999" thickTop="1">
      <c r="A429" s="36"/>
      <c r="B429" s="36"/>
      <c r="C429" s="36"/>
      <c r="D429" s="36"/>
      <c r="E429" s="36"/>
      <c r="F429" s="34"/>
      <c r="G429" s="36"/>
      <c r="H429" s="36"/>
      <c r="J429" s="36"/>
      <c r="K429" s="36"/>
      <c r="L429" s="36"/>
      <c r="M429" s="36"/>
      <c r="N429" s="36"/>
      <c r="O429" s="36"/>
      <c r="P429" s="36"/>
      <c r="Q429" s="36"/>
      <c r="R429" s="36"/>
      <c r="S429" s="36"/>
      <c r="T429" s="36"/>
      <c r="U429" s="36"/>
      <c r="V429" s="68"/>
      <c r="W429" s="100"/>
      <c r="X429" s="69"/>
      <c r="AA429" s="36"/>
    </row>
    <row r="430" spans="1:27" ht="16.8">
      <c r="A430" s="36"/>
      <c r="B430" s="36"/>
      <c r="C430" s="36"/>
      <c r="D430" s="36"/>
      <c r="E430" s="36"/>
      <c r="F430" s="36"/>
      <c r="G430" s="36"/>
      <c r="H430" s="36"/>
      <c r="I430" s="133"/>
      <c r="J430" s="36"/>
      <c r="K430" s="36"/>
      <c r="L430" s="36"/>
      <c r="M430" s="36"/>
      <c r="N430" s="36"/>
      <c r="O430" s="36"/>
      <c r="P430" s="36"/>
      <c r="Q430" s="36"/>
      <c r="R430" s="36"/>
      <c r="S430" s="36"/>
      <c r="T430" s="36"/>
      <c r="U430" s="36"/>
      <c r="V430" s="68"/>
      <c r="W430" s="100"/>
      <c r="X430" s="69"/>
      <c r="AA430" s="36"/>
    </row>
    <row r="431" spans="1:27" ht="16.8">
      <c r="A431" s="36"/>
      <c r="C431" s="36"/>
      <c r="D431" s="36"/>
      <c r="E431" s="36"/>
      <c r="F431" s="36"/>
      <c r="G431" s="36"/>
      <c r="H431" s="36"/>
      <c r="I431" s="36"/>
      <c r="J431" s="36"/>
      <c r="K431" s="36"/>
      <c r="L431" s="36"/>
      <c r="M431" s="36"/>
      <c r="N431" s="36"/>
      <c r="O431" s="36"/>
      <c r="P431" s="36"/>
      <c r="Q431" s="36"/>
      <c r="R431" s="36"/>
      <c r="S431" s="36"/>
      <c r="T431" s="36"/>
      <c r="U431" s="36"/>
      <c r="V431" s="68"/>
      <c r="W431" s="100"/>
      <c r="X431" s="69"/>
      <c r="AA431" s="36"/>
    </row>
    <row r="432" spans="1:27" ht="16.8">
      <c r="A432" s="36"/>
      <c r="C432" s="36"/>
      <c r="D432" s="36"/>
      <c r="E432" s="36"/>
      <c r="F432" s="36"/>
      <c r="G432" s="36"/>
      <c r="H432" s="36"/>
      <c r="I432" s="36"/>
      <c r="J432" s="36"/>
      <c r="K432" s="36"/>
      <c r="L432" s="36"/>
      <c r="M432" s="36"/>
      <c r="N432" s="36"/>
      <c r="O432" s="36"/>
      <c r="P432" s="36"/>
      <c r="Q432" s="36"/>
      <c r="R432" s="36"/>
      <c r="S432" s="36"/>
      <c r="T432" s="36"/>
      <c r="U432" s="36"/>
      <c r="V432" s="68"/>
      <c r="W432" s="100"/>
      <c r="X432" s="69"/>
      <c r="AA432" s="36"/>
    </row>
    <row r="433" spans="1:27" ht="16.8">
      <c r="A433" s="36"/>
      <c r="B433" s="36"/>
      <c r="C433" s="36"/>
      <c r="D433" s="36"/>
      <c r="E433" s="36"/>
      <c r="F433" s="36"/>
      <c r="G433" s="36"/>
      <c r="H433" s="36"/>
      <c r="I433" s="36"/>
      <c r="J433" s="36"/>
      <c r="K433" s="36"/>
      <c r="L433" s="36"/>
      <c r="M433" s="36"/>
      <c r="N433" s="36"/>
      <c r="O433" s="36"/>
      <c r="P433" s="36"/>
      <c r="Q433" s="36"/>
      <c r="R433" s="36"/>
      <c r="S433" s="36"/>
      <c r="T433" s="36"/>
      <c r="U433" s="36"/>
      <c r="V433" s="68"/>
      <c r="W433" s="100"/>
      <c r="X433" s="69"/>
      <c r="AA433" s="36"/>
    </row>
    <row r="434" spans="1:27" ht="16.8">
      <c r="A434" s="36"/>
      <c r="B434" s="36"/>
      <c r="C434" s="36"/>
      <c r="D434" s="36"/>
      <c r="E434" s="36"/>
      <c r="F434" s="36"/>
      <c r="G434" s="36"/>
      <c r="H434" s="36"/>
      <c r="I434" s="36"/>
      <c r="J434" s="36"/>
      <c r="K434" s="36"/>
      <c r="L434" s="36"/>
      <c r="M434" s="36"/>
      <c r="N434" s="36"/>
      <c r="O434" s="36"/>
      <c r="P434" s="36"/>
      <c r="Q434" s="36"/>
      <c r="R434" s="36"/>
      <c r="S434" s="36"/>
      <c r="T434" s="36"/>
      <c r="U434" s="36"/>
      <c r="V434" s="68"/>
      <c r="W434" s="100"/>
      <c r="X434" s="69"/>
      <c r="AA434" s="36"/>
    </row>
    <row r="435" spans="1:27" ht="16.8">
      <c r="A435" s="36"/>
      <c r="B435" s="36"/>
      <c r="C435" s="36"/>
      <c r="D435" s="36"/>
      <c r="E435" s="36"/>
      <c r="F435" s="36"/>
      <c r="G435" s="36"/>
      <c r="H435" s="36"/>
      <c r="I435" s="36"/>
      <c r="J435" s="36"/>
      <c r="K435" s="36"/>
      <c r="L435" s="36"/>
      <c r="M435" s="36"/>
      <c r="N435" s="36"/>
      <c r="O435" s="36"/>
      <c r="P435" s="36"/>
      <c r="Q435" s="36"/>
      <c r="R435" s="36"/>
      <c r="S435" s="36"/>
      <c r="T435" s="36"/>
      <c r="U435" s="36"/>
      <c r="V435" s="68"/>
      <c r="W435" s="100"/>
      <c r="X435" s="69"/>
      <c r="AA435" s="36"/>
    </row>
    <row r="436" spans="1:27" ht="16.8">
      <c r="A436" s="36"/>
      <c r="B436" s="36"/>
      <c r="C436" s="36"/>
      <c r="D436" s="36"/>
      <c r="E436" s="36"/>
      <c r="F436" s="36"/>
      <c r="G436" s="36"/>
      <c r="H436" s="36"/>
      <c r="I436" s="36"/>
      <c r="J436" s="36"/>
      <c r="K436" s="36"/>
      <c r="L436" s="36"/>
      <c r="M436" s="36"/>
      <c r="N436" s="36"/>
      <c r="O436" s="36"/>
      <c r="P436" s="36"/>
      <c r="Q436" s="36"/>
      <c r="R436" s="36"/>
      <c r="S436" s="36"/>
      <c r="T436" s="36"/>
      <c r="U436" s="36"/>
      <c r="V436" s="68"/>
      <c r="W436" s="100"/>
      <c r="X436" s="69"/>
      <c r="AA436" s="36"/>
    </row>
    <row r="437" spans="1:27" ht="16.8">
      <c r="A437" s="36"/>
      <c r="B437" s="36"/>
      <c r="C437" s="36"/>
      <c r="D437" s="36"/>
      <c r="E437" s="36"/>
      <c r="F437" s="36"/>
      <c r="G437" s="36"/>
      <c r="H437" s="36"/>
      <c r="I437" s="36"/>
      <c r="J437" s="36"/>
      <c r="K437" s="36"/>
      <c r="L437" s="36"/>
      <c r="M437" s="36"/>
      <c r="N437" s="36"/>
      <c r="O437" s="36"/>
      <c r="P437" s="36"/>
      <c r="Q437" s="36"/>
      <c r="R437" s="36"/>
      <c r="S437" s="36"/>
      <c r="T437" s="36"/>
      <c r="U437" s="36"/>
      <c r="V437" s="68"/>
      <c r="W437" s="100"/>
      <c r="X437" s="69"/>
      <c r="AA437" s="36"/>
    </row>
    <row r="438" spans="1:27" ht="16.8">
      <c r="A438" s="36"/>
      <c r="B438" s="36"/>
      <c r="C438" s="36"/>
      <c r="D438" s="36"/>
      <c r="E438" s="36"/>
      <c r="F438" s="36"/>
      <c r="G438" s="36"/>
      <c r="H438" s="36"/>
      <c r="I438" s="36"/>
      <c r="J438" s="36"/>
      <c r="K438" s="36"/>
      <c r="L438" s="36"/>
      <c r="M438" s="36"/>
      <c r="N438" s="36"/>
      <c r="O438" s="36"/>
      <c r="P438" s="36"/>
      <c r="Q438" s="36"/>
      <c r="R438" s="36"/>
      <c r="S438" s="36"/>
      <c r="T438" s="36"/>
      <c r="U438" s="36"/>
      <c r="V438" s="68"/>
      <c r="W438" s="100"/>
      <c r="X438" s="69"/>
      <c r="AA438" s="36"/>
    </row>
    <row r="439" spans="1:27" ht="15.6">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row>
    <row r="440" spans="1:27" ht="15.6">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row>
    <row r="441" spans="1:27" ht="15.6">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7"/>
    </row>
    <row r="442" spans="1:27" ht="15.6">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7"/>
      <c r="Y442" s="113"/>
    </row>
    <row r="443" spans="1:27" ht="15.6">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7"/>
      <c r="Y443" s="113"/>
    </row>
    <row r="444" spans="1:27" ht="15.6">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7"/>
      <c r="Y444" s="113"/>
    </row>
    <row r="445" spans="1:27" ht="15.6">
      <c r="A445" s="36"/>
      <c r="C445" s="36"/>
      <c r="D445" s="36"/>
      <c r="E445" s="36"/>
      <c r="F445" s="36"/>
      <c r="G445" s="36"/>
      <c r="H445" s="36"/>
      <c r="I445" s="36"/>
      <c r="J445" s="36"/>
      <c r="K445" s="36"/>
      <c r="L445" s="36"/>
      <c r="M445" s="36"/>
      <c r="N445" s="36"/>
      <c r="O445" s="36"/>
      <c r="P445" s="36"/>
      <c r="Q445" s="36"/>
      <c r="R445" s="36"/>
      <c r="S445" s="36"/>
      <c r="T445" s="36"/>
      <c r="U445" s="36"/>
      <c r="V445" s="36"/>
      <c r="W445" s="36"/>
      <c r="X445" s="37"/>
      <c r="Y445" s="113"/>
    </row>
    <row r="446" spans="1:27" ht="15.6">
      <c r="A446" s="36"/>
      <c r="B446" s="36"/>
      <c r="C446" s="36"/>
      <c r="D446" s="36"/>
      <c r="E446" s="36"/>
      <c r="F446" s="36"/>
      <c r="G446" s="36"/>
      <c r="H446" s="36"/>
      <c r="I446" s="36"/>
      <c r="J446" s="36"/>
      <c r="K446" s="36"/>
      <c r="L446" s="36"/>
      <c r="M446" s="36"/>
      <c r="N446" s="36"/>
      <c r="O446" s="36"/>
      <c r="P446" s="36"/>
      <c r="Q446" s="36"/>
      <c r="R446" s="36"/>
      <c r="S446" s="36"/>
      <c r="T446" s="36"/>
      <c r="U446" s="36"/>
      <c r="V446" s="36"/>
      <c r="W446" s="36"/>
    </row>
    <row r="447" spans="1:27" ht="15.6">
      <c r="A447" s="36"/>
      <c r="B447" s="36"/>
      <c r="C447" s="36"/>
      <c r="D447" s="36"/>
      <c r="E447" s="36"/>
      <c r="F447" s="36"/>
      <c r="G447" s="36"/>
      <c r="H447" s="36"/>
      <c r="I447" s="36"/>
      <c r="J447" s="36"/>
      <c r="K447" s="36"/>
      <c r="L447" s="36"/>
      <c r="M447" s="36"/>
      <c r="N447" s="36"/>
      <c r="O447" s="36"/>
      <c r="P447" s="36"/>
      <c r="Q447" s="36"/>
      <c r="R447" s="36"/>
      <c r="S447" s="36"/>
      <c r="T447" s="36"/>
      <c r="U447" s="36"/>
      <c r="V447" s="36"/>
      <c r="W447" s="36"/>
    </row>
    <row r="448" spans="1:27" ht="15.6">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7"/>
    </row>
    <row r="449" spans="1:26" ht="15.6">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7"/>
      <c r="Y449" s="113"/>
    </row>
    <row r="450" spans="1:26" ht="15.6">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7"/>
      <c r="Y450" s="113"/>
    </row>
    <row r="451" spans="1:26" ht="15.6">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7"/>
      <c r="Y451" s="113"/>
    </row>
    <row r="452" spans="1:26" ht="15.6">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7"/>
      <c r="Y452" s="113"/>
    </row>
    <row r="453" spans="1:26" ht="15.6">
      <c r="A453" s="36"/>
      <c r="B453" s="36"/>
      <c r="C453" s="36"/>
      <c r="D453" s="36"/>
      <c r="E453" s="36"/>
      <c r="F453" s="36"/>
      <c r="G453" s="36"/>
      <c r="H453" s="36"/>
      <c r="I453" s="36"/>
      <c r="J453" s="36"/>
      <c r="K453" s="36"/>
      <c r="L453" s="36"/>
      <c r="M453" s="36"/>
      <c r="N453" s="36"/>
      <c r="O453" s="36"/>
      <c r="P453" s="36"/>
      <c r="Q453" s="36"/>
      <c r="R453" s="36"/>
      <c r="S453" s="36"/>
      <c r="T453" s="36"/>
      <c r="U453" s="36"/>
      <c r="V453" s="36"/>
      <c r="W453" s="36"/>
    </row>
    <row r="454" spans="1:26" ht="15.6">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7"/>
    </row>
    <row r="455" spans="1:26" ht="15.6">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7"/>
    </row>
    <row r="456" spans="1:26" ht="1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7"/>
      <c r="Y456" s="109"/>
      <c r="Z456" s="118"/>
    </row>
    <row r="457" spans="1:26" ht="15.6">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7"/>
      <c r="Y457" s="109"/>
      <c r="Z457" s="118"/>
    </row>
    <row r="458" spans="1:26" ht="15.6">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7"/>
      <c r="Y458" s="109"/>
      <c r="Z458" s="118"/>
    </row>
    <row r="459" spans="1:26" ht="15.6">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7"/>
      <c r="Y459" s="109"/>
      <c r="Z459" s="118"/>
    </row>
    <row r="460" spans="1:26" ht="15.6">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Y460" s="117"/>
    </row>
    <row r="461" spans="1:26" ht="15.6">
      <c r="A461" s="67"/>
      <c r="B461" s="108">
        <v>5.5</v>
      </c>
      <c r="C461" s="67"/>
      <c r="D461" s="108" t="s">
        <v>412</v>
      </c>
      <c r="E461" s="67"/>
      <c r="F461" s="67"/>
      <c r="G461" s="67"/>
      <c r="H461" s="67"/>
      <c r="I461" s="67"/>
      <c r="J461" s="67"/>
      <c r="K461" s="67"/>
      <c r="L461" s="67"/>
      <c r="M461" s="67"/>
    </row>
    <row r="462" spans="1:26" ht="15.6">
      <c r="A462" s="67"/>
      <c r="B462" s="67"/>
      <c r="C462" s="67"/>
      <c r="D462" s="60" t="s">
        <v>413</v>
      </c>
      <c r="E462" s="67"/>
      <c r="F462" s="67"/>
      <c r="G462" s="67"/>
      <c r="H462" s="67"/>
      <c r="I462" s="67"/>
      <c r="J462" s="67"/>
      <c r="K462" s="67"/>
      <c r="L462" s="67"/>
      <c r="M462" s="67"/>
      <c r="X462" s="37"/>
      <c r="Y462" s="34"/>
    </row>
    <row r="463" spans="1:26" ht="15.6">
      <c r="A463" s="67"/>
      <c r="B463" s="67"/>
      <c r="C463" s="67"/>
      <c r="D463" s="60" t="s">
        <v>414</v>
      </c>
      <c r="E463" s="67"/>
      <c r="F463" s="67"/>
      <c r="G463" s="67"/>
      <c r="H463" s="67"/>
      <c r="I463" s="67"/>
      <c r="J463" s="67"/>
      <c r="K463" s="67"/>
      <c r="L463" s="67"/>
      <c r="M463" s="67"/>
      <c r="X463" s="37"/>
      <c r="Y463" s="34"/>
    </row>
    <row r="464" spans="1:26" ht="15.6">
      <c r="A464" s="173"/>
      <c r="B464" s="173"/>
      <c r="C464" s="173"/>
      <c r="D464" s="174"/>
      <c r="E464" s="173"/>
      <c r="F464" s="173"/>
      <c r="G464" s="173"/>
      <c r="H464" s="173"/>
      <c r="I464" s="173"/>
      <c r="J464" s="173"/>
      <c r="K464" s="173"/>
      <c r="L464" s="173"/>
      <c r="M464" s="173"/>
      <c r="X464" s="37"/>
      <c r="Y464" s="34"/>
    </row>
    <row r="465" spans="1:25" ht="15.6">
      <c r="A465" s="175"/>
      <c r="B465" s="176" t="s">
        <v>370</v>
      </c>
      <c r="C465" s="175"/>
      <c r="D465" s="183" t="s">
        <v>415</v>
      </c>
      <c r="E465" s="175"/>
      <c r="F465" s="175"/>
      <c r="G465" s="175"/>
      <c r="H465" s="175"/>
      <c r="I465" s="175"/>
      <c r="J465" s="175"/>
      <c r="K465" s="175"/>
      <c r="L465" s="175"/>
      <c r="M465" s="175"/>
      <c r="X465" s="37"/>
      <c r="Y465" s="34"/>
    </row>
    <row r="466" spans="1:25" ht="15.6">
      <c r="A466" s="175"/>
      <c r="B466" s="175"/>
      <c r="C466" s="175"/>
      <c r="D466" s="175"/>
      <c r="E466" s="175"/>
      <c r="F466" s="175"/>
      <c r="G466" s="175"/>
      <c r="H466" s="175"/>
      <c r="I466" s="175"/>
      <c r="J466" s="175"/>
      <c r="K466" s="175"/>
      <c r="L466" s="175"/>
      <c r="M466" s="175"/>
      <c r="X466" s="37"/>
      <c r="Y466" s="34"/>
    </row>
    <row r="467" spans="1:25" ht="15.6">
      <c r="A467" s="175"/>
      <c r="B467" s="175"/>
      <c r="C467" s="175"/>
      <c r="D467" s="184" t="s">
        <v>416</v>
      </c>
      <c r="E467" s="175"/>
      <c r="F467" s="175"/>
      <c r="G467" s="175"/>
      <c r="H467" s="175"/>
      <c r="I467" s="175"/>
      <c r="J467" s="175"/>
      <c r="K467" s="175"/>
      <c r="L467" s="175"/>
      <c r="M467" s="175"/>
      <c r="O467" s="185"/>
      <c r="P467" s="181"/>
      <c r="X467" s="37"/>
      <c r="Y467" s="34"/>
    </row>
    <row r="468" spans="1:25" ht="15.6">
      <c r="A468" s="175"/>
      <c r="B468" s="178"/>
      <c r="C468" s="175"/>
      <c r="D468" s="182" t="s">
        <v>417</v>
      </c>
      <c r="E468" s="175"/>
      <c r="F468" s="175"/>
      <c r="G468" s="175"/>
      <c r="H468" s="175"/>
      <c r="I468" s="175"/>
      <c r="J468" s="175"/>
      <c r="K468" s="175"/>
      <c r="L468" s="175"/>
      <c r="M468" s="175"/>
      <c r="O468" s="185"/>
      <c r="P468" s="181"/>
      <c r="X468" s="37"/>
      <c r="Y468" s="34"/>
    </row>
    <row r="469" spans="1:25" ht="15.6">
      <c r="A469" s="175"/>
      <c r="B469" s="178"/>
      <c r="C469" s="175"/>
      <c r="D469" s="182" t="s">
        <v>418</v>
      </c>
      <c r="E469" s="175"/>
      <c r="F469" s="175"/>
      <c r="G469" s="175"/>
      <c r="H469" s="175"/>
      <c r="I469" s="175"/>
      <c r="J469" s="175"/>
      <c r="K469" s="175"/>
      <c r="L469" s="175"/>
      <c r="M469" s="175"/>
      <c r="O469" s="185"/>
      <c r="P469" s="181"/>
      <c r="X469" s="37"/>
      <c r="Y469" s="34"/>
    </row>
    <row r="470" spans="1:25" ht="15.6">
      <c r="A470" s="175"/>
      <c r="B470" s="178"/>
      <c r="C470" s="175"/>
      <c r="D470" s="182" t="s">
        <v>419</v>
      </c>
      <c r="E470" s="175"/>
      <c r="F470" s="175"/>
      <c r="G470" s="175"/>
      <c r="H470" s="175"/>
      <c r="I470" s="175"/>
      <c r="J470" s="175"/>
      <c r="K470" s="175"/>
      <c r="L470" s="175"/>
      <c r="M470" s="175"/>
      <c r="O470" s="185"/>
      <c r="P470" s="181"/>
      <c r="X470" s="37"/>
      <c r="Y470" s="34"/>
    </row>
    <row r="471" spans="1:25" ht="15.6">
      <c r="A471" s="175"/>
      <c r="B471" s="178"/>
      <c r="C471" s="175"/>
      <c r="D471" s="175" t="s">
        <v>420</v>
      </c>
      <c r="E471" s="175"/>
      <c r="F471" s="175"/>
      <c r="G471" s="175"/>
      <c r="H471" s="175"/>
      <c r="I471" s="175"/>
      <c r="J471" s="175"/>
      <c r="K471" s="175"/>
      <c r="L471" s="175"/>
      <c r="M471" s="175"/>
      <c r="O471" s="185"/>
      <c r="P471" s="181"/>
      <c r="X471" s="37"/>
      <c r="Y471" s="34"/>
    </row>
    <row r="472" spans="1:25" ht="15.6">
      <c r="A472" s="175"/>
      <c r="B472" s="178"/>
      <c r="C472" s="175"/>
      <c r="D472" s="182" t="s">
        <v>421</v>
      </c>
      <c r="E472" s="175"/>
      <c r="F472" s="175"/>
      <c r="G472" s="175"/>
      <c r="H472" s="175"/>
      <c r="I472" s="175"/>
      <c r="J472" s="175"/>
      <c r="K472" s="175"/>
      <c r="L472" s="175"/>
      <c r="M472" s="175"/>
      <c r="O472" s="185"/>
      <c r="P472" s="181"/>
      <c r="X472" s="37"/>
      <c r="Y472" s="34"/>
    </row>
    <row r="473" spans="1:25" ht="15.6">
      <c r="A473" s="175"/>
      <c r="B473" s="178"/>
      <c r="C473" s="175"/>
      <c r="D473" s="182" t="s">
        <v>422</v>
      </c>
      <c r="E473" s="175"/>
      <c r="F473" s="175"/>
      <c r="G473" s="175"/>
      <c r="H473" s="175"/>
      <c r="I473" s="175"/>
      <c r="J473" s="175"/>
      <c r="K473" s="175"/>
      <c r="L473" s="175"/>
      <c r="M473" s="175"/>
      <c r="O473" s="185"/>
      <c r="P473" s="181"/>
      <c r="X473" s="37"/>
      <c r="Y473" s="34"/>
    </row>
    <row r="474" spans="1:25" ht="15.6">
      <c r="A474" s="175"/>
      <c r="B474" s="175"/>
      <c r="C474" s="175"/>
      <c r="D474" s="175" t="s">
        <v>423</v>
      </c>
      <c r="E474" s="175"/>
      <c r="F474" s="175"/>
      <c r="G474" s="175"/>
      <c r="H474" s="175"/>
      <c r="I474" s="175"/>
      <c r="J474" s="175"/>
      <c r="K474" s="175"/>
      <c r="L474" s="175"/>
      <c r="M474" s="175"/>
      <c r="O474" s="181"/>
      <c r="P474" s="181"/>
      <c r="X474" s="37"/>
      <c r="Y474" s="34"/>
    </row>
    <row r="475" spans="1:25" ht="15.6">
      <c r="A475" s="175"/>
      <c r="B475" s="175"/>
      <c r="C475" s="175"/>
      <c r="D475" s="175"/>
      <c r="E475" s="175"/>
      <c r="F475" s="175"/>
      <c r="G475" s="175"/>
      <c r="H475" s="175"/>
      <c r="I475" s="175"/>
      <c r="J475" s="175"/>
      <c r="K475" s="175"/>
      <c r="L475" s="175"/>
      <c r="M475" s="175"/>
      <c r="O475" s="181"/>
      <c r="P475" s="181"/>
      <c r="X475" s="37"/>
      <c r="Y475" s="34"/>
    </row>
    <row r="476" spans="1:25" ht="15.6">
      <c r="A476" s="175"/>
      <c r="B476" s="175"/>
      <c r="C476" s="175"/>
      <c r="D476" s="184" t="s">
        <v>424</v>
      </c>
      <c r="E476" s="175"/>
      <c r="F476" s="175"/>
      <c r="G476" s="175"/>
      <c r="H476" s="175"/>
      <c r="I476" s="175"/>
      <c r="J476" s="175"/>
      <c r="K476" s="175"/>
      <c r="L476" s="175"/>
      <c r="M476" s="175"/>
      <c r="O476" s="185"/>
      <c r="P476" s="185"/>
      <c r="X476" s="37"/>
      <c r="Y476" s="34"/>
    </row>
    <row r="477" spans="1:25" ht="15.6">
      <c r="A477" s="175"/>
      <c r="B477" s="175"/>
      <c r="C477" s="175"/>
      <c r="D477" s="175" t="s">
        <v>425</v>
      </c>
      <c r="E477" s="175"/>
      <c r="F477" s="175"/>
      <c r="G477" s="175"/>
      <c r="H477" s="175"/>
      <c r="I477" s="175"/>
      <c r="J477" s="175"/>
      <c r="K477" s="175"/>
      <c r="L477" s="175"/>
      <c r="M477" s="175"/>
      <c r="O477" s="185"/>
      <c r="P477" s="185"/>
      <c r="X477" s="37"/>
      <c r="Y477" s="34"/>
    </row>
    <row r="478" spans="1:25" ht="15.6">
      <c r="A478" s="175"/>
      <c r="B478" s="175"/>
      <c r="C478" s="175"/>
      <c r="D478" s="175" t="s">
        <v>426</v>
      </c>
      <c r="E478" s="175"/>
      <c r="F478" s="175"/>
      <c r="G478" s="175"/>
      <c r="H478" s="175"/>
      <c r="I478" s="175"/>
      <c r="J478" s="175"/>
      <c r="K478" s="175"/>
      <c r="L478" s="175"/>
      <c r="M478" s="175"/>
      <c r="O478" s="185"/>
      <c r="P478" s="185"/>
      <c r="X478" s="37"/>
      <c r="Y478" s="34"/>
    </row>
    <row r="479" spans="1:25" ht="15.6">
      <c r="A479" s="175"/>
      <c r="B479" s="175"/>
      <c r="C479" s="175"/>
      <c r="D479" s="175" t="s">
        <v>427</v>
      </c>
      <c r="E479" s="175"/>
      <c r="F479" s="175"/>
      <c r="G479" s="175"/>
      <c r="H479" s="175"/>
      <c r="I479" s="175"/>
      <c r="J479" s="175"/>
      <c r="K479" s="175"/>
      <c r="L479" s="175"/>
      <c r="M479" s="175"/>
      <c r="O479" s="185"/>
      <c r="P479" s="185"/>
      <c r="X479" s="37"/>
      <c r="Y479" s="34"/>
    </row>
    <row r="480" spans="1:25" ht="15.6">
      <c r="A480" s="175"/>
      <c r="B480" s="175"/>
      <c r="C480" s="175"/>
      <c r="D480" s="175" t="s">
        <v>428</v>
      </c>
      <c r="E480" s="175"/>
      <c r="F480" s="175"/>
      <c r="G480" s="175"/>
      <c r="H480" s="175"/>
      <c r="I480" s="175"/>
      <c r="J480" s="175"/>
      <c r="K480" s="175"/>
      <c r="L480" s="175"/>
      <c r="M480" s="175"/>
      <c r="O480" s="185"/>
      <c r="P480" s="181"/>
      <c r="X480" s="37"/>
      <c r="Y480" s="34"/>
    </row>
    <row r="481" spans="1:25" ht="15.6">
      <c r="A481" s="175"/>
      <c r="B481" s="175"/>
      <c r="C481" s="175"/>
      <c r="D481" s="175"/>
      <c r="E481" s="175"/>
      <c r="F481" s="175"/>
      <c r="G481" s="175"/>
      <c r="H481" s="175"/>
      <c r="I481" s="175"/>
      <c r="J481" s="175"/>
      <c r="K481" s="175"/>
      <c r="L481" s="175"/>
      <c r="M481" s="175"/>
      <c r="O481" s="185"/>
      <c r="P481" s="185"/>
      <c r="X481" s="37"/>
      <c r="Y481" s="34"/>
    </row>
    <row r="482" spans="1:25" ht="15.6">
      <c r="A482" s="175"/>
      <c r="B482" s="175"/>
      <c r="C482" s="175"/>
      <c r="D482" s="183" t="s">
        <v>429</v>
      </c>
      <c r="E482" s="175"/>
      <c r="F482" s="175"/>
      <c r="G482" s="175"/>
      <c r="H482" s="175"/>
      <c r="I482" s="175"/>
      <c r="J482" s="175"/>
      <c r="K482" s="175"/>
      <c r="L482" s="175"/>
      <c r="M482" s="175"/>
      <c r="O482" s="185"/>
      <c r="P482" s="185"/>
      <c r="X482" s="37"/>
      <c r="Y482" s="34"/>
    </row>
    <row r="483" spans="1:25" ht="15.6">
      <c r="A483" s="175"/>
      <c r="B483" s="175"/>
      <c r="C483" s="175"/>
      <c r="D483" s="175"/>
      <c r="E483" s="175"/>
      <c r="F483" s="175"/>
      <c r="G483" s="175"/>
      <c r="H483" s="175"/>
      <c r="I483" s="175"/>
      <c r="J483" s="175"/>
      <c r="K483" s="175"/>
      <c r="L483" s="175"/>
      <c r="M483" s="175"/>
      <c r="P483" s="185"/>
      <c r="X483" s="37"/>
      <c r="Y483" s="34"/>
    </row>
    <row r="484" spans="1:25" ht="15.6">
      <c r="A484" s="175"/>
      <c r="B484" s="175"/>
      <c r="C484" s="175"/>
      <c r="D484" s="184" t="s">
        <v>430</v>
      </c>
      <c r="E484" s="175"/>
      <c r="F484" s="175"/>
      <c r="G484" s="175"/>
      <c r="H484" s="175"/>
      <c r="I484" s="175"/>
      <c r="J484" s="175"/>
      <c r="K484" s="175"/>
      <c r="L484" s="175"/>
      <c r="M484" s="175"/>
      <c r="P484" s="185"/>
      <c r="X484" s="37"/>
      <c r="Y484" s="34"/>
    </row>
    <row r="485" spans="1:25" ht="15.6">
      <c r="A485" s="175"/>
      <c r="B485" s="175"/>
      <c r="C485" s="175"/>
      <c r="D485" s="175" t="s">
        <v>431</v>
      </c>
      <c r="E485" s="175"/>
      <c r="F485" s="175"/>
      <c r="G485" s="175"/>
      <c r="H485" s="175"/>
      <c r="I485" s="175"/>
      <c r="J485" s="175"/>
      <c r="K485" s="175"/>
      <c r="L485" s="175"/>
      <c r="M485" s="175"/>
      <c r="P485" s="185"/>
      <c r="X485" s="37"/>
      <c r="Y485" s="34"/>
    </row>
    <row r="486" spans="1:25" ht="15.6">
      <c r="A486" s="175"/>
      <c r="B486" s="175"/>
      <c r="C486" s="175"/>
      <c r="D486" s="175" t="s">
        <v>432</v>
      </c>
      <c r="E486" s="175"/>
      <c r="F486" s="175"/>
      <c r="G486" s="175"/>
      <c r="H486" s="175"/>
      <c r="I486" s="175"/>
      <c r="J486" s="175"/>
      <c r="K486" s="175"/>
      <c r="L486" s="175"/>
      <c r="M486" s="175"/>
      <c r="P486" s="185"/>
      <c r="X486" s="37"/>
      <c r="Y486" s="34"/>
    </row>
    <row r="487" spans="1:25" ht="15.6">
      <c r="A487" s="175"/>
      <c r="B487" s="175"/>
      <c r="C487" s="175"/>
      <c r="D487" s="175" t="s">
        <v>433</v>
      </c>
      <c r="E487" s="175"/>
      <c r="F487" s="175"/>
      <c r="G487" s="175"/>
      <c r="H487" s="175"/>
      <c r="I487" s="175"/>
      <c r="J487" s="175"/>
      <c r="K487" s="175"/>
      <c r="L487" s="175"/>
      <c r="M487" s="175"/>
      <c r="P487" s="185"/>
      <c r="X487" s="37"/>
      <c r="Y487" s="34"/>
    </row>
    <row r="488" spans="1:25" ht="15.6">
      <c r="A488" s="175"/>
      <c r="B488" s="175"/>
      <c r="C488" s="175"/>
      <c r="D488" s="175" t="s">
        <v>434</v>
      </c>
      <c r="E488" s="175"/>
      <c r="F488" s="175"/>
      <c r="G488" s="175"/>
      <c r="H488" s="175"/>
      <c r="I488" s="175"/>
      <c r="J488" s="175"/>
      <c r="K488" s="175"/>
      <c r="L488" s="175"/>
      <c r="M488" s="175"/>
      <c r="P488" s="185"/>
      <c r="X488" s="37"/>
      <c r="Y488" s="34"/>
    </row>
    <row r="489" spans="1:25" ht="15.6">
      <c r="A489" s="175"/>
      <c r="B489" s="175"/>
      <c r="C489" s="175"/>
      <c r="D489" s="175" t="s">
        <v>435</v>
      </c>
      <c r="E489" s="175"/>
      <c r="F489" s="175"/>
      <c r="G489" s="175"/>
      <c r="H489" s="175"/>
      <c r="I489" s="175"/>
      <c r="J489" s="175"/>
      <c r="K489" s="175"/>
      <c r="L489" s="175"/>
      <c r="M489" s="175"/>
      <c r="P489" s="185"/>
      <c r="X489" s="37"/>
      <c r="Y489" s="34"/>
    </row>
    <row r="490" spans="1:25" ht="15.6">
      <c r="A490" s="175"/>
      <c r="B490" s="175"/>
      <c r="C490" s="175"/>
      <c r="D490" s="175"/>
      <c r="E490" s="175"/>
      <c r="F490" s="175"/>
      <c r="G490" s="175"/>
      <c r="H490" s="175"/>
      <c r="I490" s="175"/>
      <c r="J490" s="175"/>
      <c r="K490" s="175"/>
      <c r="L490" s="175"/>
      <c r="M490" s="175"/>
      <c r="P490" s="185"/>
      <c r="X490" s="37"/>
      <c r="Y490" s="34"/>
    </row>
    <row r="491" spans="1:25" ht="15.6">
      <c r="A491" s="175"/>
      <c r="B491" s="175"/>
      <c r="C491" s="175"/>
      <c r="D491" s="184" t="s">
        <v>436</v>
      </c>
      <c r="E491" s="175"/>
      <c r="F491" s="175"/>
      <c r="G491" s="175"/>
      <c r="H491" s="175"/>
      <c r="I491" s="175"/>
      <c r="J491" s="175"/>
      <c r="K491" s="175"/>
      <c r="L491" s="175"/>
      <c r="M491" s="175"/>
      <c r="P491" s="185"/>
      <c r="X491" s="37"/>
      <c r="Y491" s="34"/>
    </row>
    <row r="492" spans="1:25" ht="15.6">
      <c r="A492" s="175"/>
      <c r="B492" s="175"/>
      <c r="C492" s="175"/>
      <c r="D492" s="175" t="s">
        <v>437</v>
      </c>
      <c r="E492" s="175"/>
      <c r="F492" s="175"/>
      <c r="G492" s="175"/>
      <c r="H492" s="175"/>
      <c r="I492" s="175"/>
      <c r="J492" s="175"/>
      <c r="K492" s="175"/>
      <c r="L492" s="175"/>
      <c r="M492" s="175"/>
      <c r="X492" s="37"/>
      <c r="Y492" s="34"/>
    </row>
    <row r="493" spans="1:25" ht="15.6">
      <c r="A493" s="175"/>
      <c r="B493" s="175"/>
      <c r="C493" s="175"/>
      <c r="D493" s="175" t="s">
        <v>438</v>
      </c>
      <c r="E493" s="175"/>
      <c r="F493" s="175"/>
      <c r="G493" s="175"/>
      <c r="H493" s="175"/>
      <c r="I493" s="175"/>
      <c r="J493" s="175"/>
      <c r="K493" s="175"/>
      <c r="L493" s="175"/>
      <c r="M493" s="175"/>
      <c r="X493" s="37"/>
      <c r="Y493" s="34"/>
    </row>
    <row r="494" spans="1:25" ht="15.6">
      <c r="A494" s="173"/>
      <c r="B494" s="173"/>
      <c r="C494" s="173"/>
      <c r="D494" s="173"/>
      <c r="E494" s="173"/>
      <c r="F494" s="173"/>
      <c r="G494" s="173"/>
      <c r="H494" s="173"/>
      <c r="I494" s="173"/>
      <c r="J494" s="173"/>
      <c r="K494" s="173"/>
      <c r="L494" s="173"/>
      <c r="M494" s="173"/>
      <c r="X494" s="37"/>
      <c r="Y494" s="34"/>
    </row>
    <row r="495" spans="1:25" ht="15.6">
      <c r="A495" s="52"/>
      <c r="B495" s="88" t="s">
        <v>372</v>
      </c>
      <c r="C495" s="52"/>
      <c r="D495" s="88" t="s">
        <v>440</v>
      </c>
      <c r="E495" s="52"/>
      <c r="F495" s="52"/>
      <c r="G495" s="52"/>
      <c r="H495" s="52"/>
      <c r="I495" s="52"/>
      <c r="J495" s="52"/>
      <c r="K495" s="52"/>
      <c r="L495" s="52"/>
      <c r="M495" s="52"/>
      <c r="X495" s="37"/>
      <c r="Y495" s="34"/>
    </row>
    <row r="496" spans="1:25" ht="15.6">
      <c r="A496" s="52"/>
      <c r="B496" s="89"/>
      <c r="C496" s="52"/>
      <c r="D496" s="88" t="s">
        <v>439</v>
      </c>
      <c r="E496" s="52"/>
      <c r="F496" s="52"/>
      <c r="G496" s="52"/>
      <c r="H496" s="52"/>
      <c r="I496" s="52"/>
      <c r="J496" s="52"/>
      <c r="K496" s="52"/>
      <c r="L496" s="52"/>
      <c r="M496" s="52"/>
      <c r="X496" s="37"/>
      <c r="Y496" s="34"/>
    </row>
    <row r="497" spans="1:26" ht="15.6">
      <c r="A497" s="52"/>
      <c r="B497" s="52"/>
      <c r="C497" s="52"/>
      <c r="D497" s="88" t="s">
        <v>441</v>
      </c>
      <c r="E497" s="52"/>
      <c r="F497" s="52"/>
      <c r="G497" s="52"/>
      <c r="H497" s="52"/>
      <c r="I497" s="52"/>
      <c r="J497" s="52"/>
      <c r="K497" s="52"/>
      <c r="L497" s="52"/>
      <c r="M497" s="52"/>
      <c r="X497" s="37"/>
      <c r="Y497" s="34"/>
    </row>
    <row r="498" spans="1:26" ht="15.6">
      <c r="A498" s="52"/>
      <c r="B498" s="52"/>
      <c r="C498" s="52"/>
      <c r="D498" s="88" t="s">
        <v>442</v>
      </c>
      <c r="E498" s="52"/>
      <c r="F498" s="52"/>
      <c r="G498" s="52"/>
      <c r="H498" s="52"/>
      <c r="I498" s="52"/>
      <c r="J498" s="52"/>
      <c r="K498" s="52"/>
      <c r="L498" s="52"/>
      <c r="M498" s="52"/>
      <c r="X498" s="37"/>
      <c r="Y498" s="34"/>
    </row>
    <row r="499" spans="1:26" ht="15.6">
      <c r="A499" s="36"/>
      <c r="B499" s="36"/>
      <c r="C499" s="36"/>
      <c r="D499" s="36"/>
      <c r="E499" s="36"/>
      <c r="F499" s="36"/>
      <c r="G499" s="36"/>
      <c r="H499" s="36"/>
      <c r="I499" s="36"/>
      <c r="J499" s="36"/>
      <c r="K499" s="36"/>
      <c r="L499" s="36"/>
      <c r="M499" s="36"/>
      <c r="Y499" s="116"/>
    </row>
    <row r="500" spans="1:26">
      <c r="X500" s="114"/>
      <c r="Y500" s="37"/>
    </row>
    <row r="501" spans="1:26" ht="18">
      <c r="B501" s="130" t="s">
        <v>324</v>
      </c>
      <c r="X501" s="37"/>
      <c r="Y501" s="115"/>
      <c r="Z501" s="118"/>
    </row>
    <row r="502" spans="1:26">
      <c r="X502" s="37"/>
      <c r="Y502" s="115"/>
      <c r="Z502" s="118"/>
    </row>
    <row r="503" spans="1:26">
      <c r="F503" s="165" t="s">
        <v>338</v>
      </c>
      <c r="G503" s="166"/>
      <c r="H503" s="166"/>
      <c r="I503" s="167"/>
      <c r="J503" s="165" t="s">
        <v>340</v>
      </c>
      <c r="K503" s="166"/>
      <c r="L503" s="166"/>
      <c r="M503" s="167"/>
      <c r="X503" s="37"/>
      <c r="Y503" s="115"/>
      <c r="Z503" s="118"/>
    </row>
    <row r="504" spans="1:26">
      <c r="F504" s="162" t="s">
        <v>339</v>
      </c>
      <c r="G504" s="163"/>
      <c r="H504" s="163"/>
      <c r="I504" s="164"/>
      <c r="J504" s="162" t="s">
        <v>343</v>
      </c>
      <c r="K504" s="163"/>
      <c r="L504" s="163"/>
      <c r="M504" s="164"/>
      <c r="X504" s="37"/>
      <c r="Y504" s="115"/>
      <c r="Z504" s="118"/>
    </row>
    <row r="505" spans="1:26" ht="16.8">
      <c r="B505" s="107" t="s">
        <v>319</v>
      </c>
      <c r="F505" s="134" t="s">
        <v>204</v>
      </c>
      <c r="G505" s="135" t="s">
        <v>202</v>
      </c>
      <c r="H505" s="135" t="s">
        <v>203</v>
      </c>
      <c r="I505" s="136" t="s">
        <v>336</v>
      </c>
      <c r="J505" s="144" t="s">
        <v>204</v>
      </c>
      <c r="K505" s="145" t="s">
        <v>202</v>
      </c>
      <c r="L505" s="145" t="s">
        <v>203</v>
      </c>
      <c r="M505" s="146" t="s">
        <v>336</v>
      </c>
      <c r="X505" s="114"/>
      <c r="Y505" s="37"/>
    </row>
    <row r="506" spans="1:26" ht="15.6">
      <c r="B506" s="36" t="s">
        <v>320</v>
      </c>
      <c r="F506" s="77">
        <v>30</v>
      </c>
      <c r="G506" s="77">
        <v>10.8</v>
      </c>
      <c r="H506" s="77">
        <v>0</v>
      </c>
      <c r="I506" s="77">
        <v>7</v>
      </c>
      <c r="J506" s="137">
        <v>1047.4000000000001</v>
      </c>
      <c r="K506" s="137">
        <v>126.2</v>
      </c>
      <c r="L506" s="137">
        <v>1</v>
      </c>
      <c r="M506" s="137">
        <v>112.3</v>
      </c>
      <c r="Y506" s="117"/>
    </row>
    <row r="507" spans="1:26" ht="15.6">
      <c r="B507" s="36" t="s">
        <v>321</v>
      </c>
      <c r="F507" s="77">
        <v>30</v>
      </c>
      <c r="G507" s="77">
        <v>10.6</v>
      </c>
      <c r="H507" s="77">
        <v>0</v>
      </c>
      <c r="I507" s="77">
        <v>7</v>
      </c>
      <c r="J507" s="137">
        <v>621.20000000000005</v>
      </c>
      <c r="K507" s="137">
        <v>126.1</v>
      </c>
      <c r="L507" s="137">
        <v>1</v>
      </c>
      <c r="M507" s="137">
        <v>112</v>
      </c>
      <c r="X507" s="37"/>
    </row>
    <row r="508" spans="1:26" ht="15.6">
      <c r="B508" s="36" t="s">
        <v>322</v>
      </c>
      <c r="F508" s="77">
        <v>30</v>
      </c>
      <c r="G508" s="77">
        <v>10.8</v>
      </c>
      <c r="H508" s="77">
        <v>0</v>
      </c>
      <c r="I508" s="77">
        <v>7</v>
      </c>
      <c r="J508" s="137">
        <v>1092.2</v>
      </c>
      <c r="K508" s="137">
        <v>121</v>
      </c>
      <c r="L508" s="137">
        <v>1</v>
      </c>
      <c r="M508" s="137">
        <v>106.3</v>
      </c>
    </row>
    <row r="509" spans="1:26" ht="15.6">
      <c r="B509" s="36" t="s">
        <v>323</v>
      </c>
      <c r="F509" s="77">
        <v>30</v>
      </c>
      <c r="G509" s="77">
        <v>10.8</v>
      </c>
      <c r="H509" s="77">
        <v>0</v>
      </c>
      <c r="I509" s="77">
        <v>7</v>
      </c>
      <c r="J509" s="137">
        <v>875</v>
      </c>
      <c r="K509" s="137">
        <v>120.2</v>
      </c>
      <c r="L509" s="137">
        <v>1</v>
      </c>
      <c r="M509" s="137">
        <v>105.7</v>
      </c>
    </row>
    <row r="512" spans="1:26">
      <c r="F512" s="165" t="s">
        <v>340</v>
      </c>
      <c r="G512" s="166"/>
      <c r="H512" s="166"/>
      <c r="I512" s="167"/>
    </row>
    <row r="513" spans="2:26" ht="16.8">
      <c r="F513" s="162" t="s">
        <v>344</v>
      </c>
      <c r="G513" s="163"/>
      <c r="H513" s="163"/>
      <c r="I513" s="164"/>
      <c r="J513" s="68"/>
      <c r="K513" s="68"/>
      <c r="L513" s="68"/>
      <c r="M513" s="68"/>
    </row>
    <row r="514" spans="2:26" ht="16.8">
      <c r="B514" s="107" t="s">
        <v>319</v>
      </c>
      <c r="F514" s="140" t="s">
        <v>266</v>
      </c>
      <c r="G514" s="141" t="s">
        <v>267</v>
      </c>
      <c r="H514" s="142" t="s">
        <v>268</v>
      </c>
      <c r="I514" s="143" t="s">
        <v>269</v>
      </c>
      <c r="J514" s="68"/>
      <c r="K514" s="68"/>
      <c r="L514" s="68"/>
      <c r="M514" s="68"/>
    </row>
    <row r="515" spans="2:26" ht="15.6">
      <c r="B515" s="36" t="s">
        <v>320</v>
      </c>
      <c r="F515" s="139">
        <v>124.4</v>
      </c>
      <c r="G515" s="139">
        <v>129</v>
      </c>
      <c r="H515" s="139">
        <v>126.3</v>
      </c>
      <c r="I515" s="139">
        <v>125.9</v>
      </c>
      <c r="Y515" s="117"/>
      <c r="Z515" s="124"/>
    </row>
    <row r="516" spans="2:26" ht="15.6">
      <c r="B516" s="36" t="s">
        <v>321</v>
      </c>
      <c r="F516" s="139">
        <v>126.5</v>
      </c>
      <c r="G516" s="139">
        <v>121.8</v>
      </c>
      <c r="H516" s="139">
        <v>127.9</v>
      </c>
      <c r="I516" s="139">
        <v>126.4</v>
      </c>
      <c r="P516" s="79"/>
    </row>
    <row r="517" spans="2:26" ht="15.6">
      <c r="B517" s="36" t="s">
        <v>322</v>
      </c>
      <c r="F517" s="139">
        <v>121.1</v>
      </c>
      <c r="G517" s="139">
        <v>121</v>
      </c>
      <c r="H517" s="139">
        <v>120.6</v>
      </c>
      <c r="I517" s="139">
        <v>121.3</v>
      </c>
    </row>
    <row r="518" spans="2:26" ht="15.6">
      <c r="B518" s="36" t="s">
        <v>323</v>
      </c>
      <c r="F518" s="139">
        <v>121.1</v>
      </c>
      <c r="G518" s="139">
        <v>118.9</v>
      </c>
      <c r="H518" s="139">
        <v>121.4</v>
      </c>
      <c r="I518" s="139">
        <v>118.8</v>
      </c>
    </row>
    <row r="521" spans="2:26">
      <c r="Y521" s="117"/>
      <c r="Z521" s="124"/>
    </row>
    <row r="522" spans="2:26" ht="16.8">
      <c r="V522" s="68"/>
      <c r="W522" s="68"/>
      <c r="X522" s="68"/>
      <c r="Y522" s="68"/>
      <c r="Z522" s="68"/>
    </row>
    <row r="523" spans="2:26" ht="16.8">
      <c r="V523" s="68"/>
      <c r="W523" s="69"/>
      <c r="X523" s="69"/>
      <c r="Y523" s="69"/>
      <c r="Z523" s="69"/>
    </row>
    <row r="524" spans="2:26" ht="16.8">
      <c r="V524" s="68"/>
      <c r="W524" s="69"/>
      <c r="X524" s="69"/>
      <c r="Y524" s="69"/>
      <c r="Z524" s="69"/>
    </row>
    <row r="525" spans="2:26" ht="16.8">
      <c r="V525" s="68"/>
      <c r="W525" s="69"/>
      <c r="X525" s="69"/>
      <c r="Y525" s="69"/>
      <c r="Z525" s="69"/>
    </row>
    <row r="526" spans="2:26" ht="16.8">
      <c r="V526" s="68"/>
      <c r="W526" s="69"/>
      <c r="X526" s="69"/>
      <c r="Y526" s="69"/>
      <c r="Z526" s="69"/>
    </row>
    <row r="563" spans="2:26" ht="16.8" customHeight="1">
      <c r="Q563" s="156"/>
      <c r="R563" s="156"/>
      <c r="S563" s="156"/>
      <c r="T563" s="156"/>
      <c r="U563" s="79"/>
    </row>
    <row r="564" spans="2:26" ht="16.8" customHeight="1">
      <c r="P564" s="156"/>
      <c r="Q564" s="156"/>
      <c r="R564" s="156"/>
      <c r="S564" s="156"/>
      <c r="T564" s="79"/>
      <c r="U564" s="68"/>
      <c r="V564" s="156"/>
      <c r="W564" s="156"/>
      <c r="X564" s="156"/>
      <c r="Y564" s="156"/>
      <c r="Z564" s="79"/>
    </row>
    <row r="565" spans="2:26" ht="16.8" customHeight="1">
      <c r="P565" s="68"/>
      <c r="Q565" s="156"/>
      <c r="R565" s="156"/>
      <c r="S565" s="156"/>
      <c r="T565" s="156"/>
      <c r="U565" s="79"/>
      <c r="V565" s="68"/>
      <c r="W565" s="68"/>
      <c r="X565" s="68"/>
      <c r="Y565" s="68"/>
      <c r="Z565" s="68"/>
    </row>
    <row r="566" spans="2:26" ht="16.8">
      <c r="P566" s="68"/>
      <c r="Q566" s="68"/>
      <c r="R566" s="68"/>
      <c r="S566" s="68"/>
      <c r="T566" s="68"/>
      <c r="U566" s="68"/>
      <c r="V566" s="68"/>
      <c r="W566" s="68"/>
      <c r="X566" s="68"/>
      <c r="Y566" s="68"/>
      <c r="Z566" s="68"/>
    </row>
    <row r="567" spans="2:26" ht="16.8">
      <c r="P567" s="68"/>
      <c r="Q567" s="68"/>
      <c r="R567" s="68"/>
      <c r="S567" s="68"/>
      <c r="T567" s="68"/>
      <c r="U567" s="68"/>
      <c r="V567" s="68"/>
      <c r="W567" s="69"/>
      <c r="X567" s="69"/>
      <c r="Y567" s="69"/>
      <c r="Z567" s="69"/>
    </row>
    <row r="568" spans="2:26" ht="16.8">
      <c r="P568" s="68"/>
      <c r="Q568" s="68"/>
      <c r="R568" s="68"/>
      <c r="S568" s="68"/>
      <c r="T568" s="68"/>
      <c r="U568" s="68"/>
      <c r="V568" s="68"/>
      <c r="W568" s="69"/>
      <c r="X568" s="69"/>
      <c r="Y568" s="69"/>
      <c r="Z568" s="69"/>
    </row>
    <row r="569" spans="2:26" ht="16.8">
      <c r="P569" s="68"/>
      <c r="Q569" s="68"/>
      <c r="R569" s="68"/>
      <c r="S569" s="68"/>
      <c r="T569" s="68"/>
      <c r="U569" s="68"/>
      <c r="V569" s="68"/>
      <c r="W569" s="69"/>
      <c r="X569" s="69"/>
      <c r="Y569" s="69"/>
      <c r="Z569" s="69"/>
    </row>
    <row r="570" spans="2:26" ht="16.8">
      <c r="Q570" s="68"/>
      <c r="R570" s="69"/>
      <c r="S570" s="69"/>
      <c r="T570" s="69"/>
      <c r="U570" s="69"/>
    </row>
    <row r="571" spans="2:26" ht="18">
      <c r="B571" s="130" t="s">
        <v>326</v>
      </c>
    </row>
    <row r="573" spans="2:26">
      <c r="F573" s="165" t="s">
        <v>338</v>
      </c>
      <c r="G573" s="166"/>
      <c r="H573" s="166"/>
      <c r="I573" s="167"/>
      <c r="J573" s="165" t="s">
        <v>340</v>
      </c>
      <c r="K573" s="166"/>
      <c r="L573" s="166"/>
      <c r="M573" s="167"/>
    </row>
    <row r="574" spans="2:26">
      <c r="F574" s="162" t="s">
        <v>339</v>
      </c>
      <c r="G574" s="163"/>
      <c r="H574" s="163"/>
      <c r="I574" s="164"/>
      <c r="J574" s="162" t="s">
        <v>343</v>
      </c>
      <c r="K574" s="163"/>
      <c r="L574" s="163"/>
      <c r="M574" s="164"/>
    </row>
    <row r="575" spans="2:26" ht="16.8">
      <c r="B575" s="107" t="s">
        <v>319</v>
      </c>
      <c r="F575" s="134" t="s">
        <v>204</v>
      </c>
      <c r="G575" s="135" t="s">
        <v>202</v>
      </c>
      <c r="H575" s="135" t="s">
        <v>203</v>
      </c>
      <c r="I575" s="136" t="s">
        <v>336</v>
      </c>
      <c r="J575" s="144" t="s">
        <v>204</v>
      </c>
      <c r="K575" s="145" t="s">
        <v>202</v>
      </c>
      <c r="L575" s="145" t="s">
        <v>203</v>
      </c>
      <c r="M575" s="146" t="s">
        <v>336</v>
      </c>
    </row>
    <row r="576" spans="2:26" ht="15.6">
      <c r="B576" s="36" t="s">
        <v>332</v>
      </c>
      <c r="F576" s="77">
        <v>30</v>
      </c>
      <c r="G576" s="77">
        <v>10.8</v>
      </c>
      <c r="H576" s="77">
        <v>0</v>
      </c>
      <c r="I576" s="77">
        <v>7</v>
      </c>
      <c r="J576" s="137">
        <v>1092.2</v>
      </c>
      <c r="K576" s="137">
        <v>121.9</v>
      </c>
      <c r="L576" s="137">
        <v>1</v>
      </c>
      <c r="M576" s="137">
        <v>107.6</v>
      </c>
    </row>
    <row r="577" spans="2:13" ht="15.6">
      <c r="B577" s="36" t="s">
        <v>333</v>
      </c>
      <c r="F577" s="77">
        <v>30</v>
      </c>
      <c r="G577" s="77">
        <v>10.7</v>
      </c>
      <c r="H577" s="77">
        <v>0</v>
      </c>
      <c r="I577" s="77">
        <v>7</v>
      </c>
      <c r="J577" s="137">
        <v>875</v>
      </c>
      <c r="K577" s="137">
        <v>121.9</v>
      </c>
      <c r="L577" s="137">
        <v>1</v>
      </c>
      <c r="M577" s="137">
        <v>107.4</v>
      </c>
    </row>
    <row r="578" spans="2:13" ht="15.6">
      <c r="B578" s="36" t="s">
        <v>334</v>
      </c>
      <c r="F578" s="77">
        <v>30</v>
      </c>
      <c r="G578" s="77">
        <v>10.8</v>
      </c>
      <c r="H578" s="77">
        <v>0</v>
      </c>
      <c r="I578" s="77">
        <v>7</v>
      </c>
      <c r="J578" s="137">
        <v>842.1</v>
      </c>
      <c r="K578" s="137">
        <v>123.2</v>
      </c>
      <c r="L578" s="137">
        <v>1</v>
      </c>
      <c r="M578" s="137">
        <v>108.4</v>
      </c>
    </row>
    <row r="579" spans="2:13" ht="15.6">
      <c r="B579" s="36" t="s">
        <v>335</v>
      </c>
      <c r="F579" s="77">
        <v>30</v>
      </c>
      <c r="G579" s="77">
        <v>10.9</v>
      </c>
      <c r="H579" s="77">
        <v>0</v>
      </c>
      <c r="I579" s="77">
        <v>7</v>
      </c>
      <c r="J579" s="137">
        <v>712</v>
      </c>
      <c r="K579" s="137">
        <v>121.6</v>
      </c>
      <c r="L579" s="137">
        <v>1</v>
      </c>
      <c r="M579" s="137">
        <v>107.2</v>
      </c>
    </row>
    <row r="582" spans="2:13">
      <c r="F582" s="165" t="s">
        <v>340</v>
      </c>
      <c r="G582" s="166"/>
      <c r="H582" s="166"/>
      <c r="I582" s="167"/>
    </row>
    <row r="583" spans="2:13" ht="16.8">
      <c r="F583" s="162" t="s">
        <v>344</v>
      </c>
      <c r="G583" s="163"/>
      <c r="H583" s="163"/>
      <c r="I583" s="164"/>
      <c r="J583" s="68"/>
      <c r="K583" s="68"/>
      <c r="L583" s="68"/>
      <c r="M583" s="68"/>
    </row>
    <row r="584" spans="2:13" ht="16.8">
      <c r="B584" s="107" t="s">
        <v>319</v>
      </c>
      <c r="F584" s="140" t="s">
        <v>266</v>
      </c>
      <c r="G584" s="141" t="s">
        <v>267</v>
      </c>
      <c r="H584" s="142" t="s">
        <v>268</v>
      </c>
      <c r="I584" s="143" t="s">
        <v>269</v>
      </c>
      <c r="J584" s="68"/>
      <c r="K584" s="68"/>
      <c r="L584" s="68"/>
      <c r="M584" s="68"/>
    </row>
    <row r="585" spans="2:13" ht="15.6">
      <c r="B585" s="36" t="s">
        <v>332</v>
      </c>
      <c r="F585" s="139">
        <v>121.3</v>
      </c>
      <c r="G585" s="139">
        <v>123.6</v>
      </c>
      <c r="H585" s="139">
        <v>121.2</v>
      </c>
      <c r="I585" s="139">
        <v>122.2</v>
      </c>
    </row>
    <row r="586" spans="2:13" ht="15.6">
      <c r="B586" s="36" t="s">
        <v>333</v>
      </c>
      <c r="F586" s="139">
        <v>123.1</v>
      </c>
      <c r="G586" s="139">
        <v>117.9</v>
      </c>
      <c r="H586" s="139">
        <v>123.5</v>
      </c>
      <c r="I586" s="139">
        <v>121.5</v>
      </c>
    </row>
    <row r="587" spans="2:13" ht="15.6">
      <c r="B587" s="36" t="s">
        <v>334</v>
      </c>
      <c r="F587" s="139">
        <v>123.3</v>
      </c>
      <c r="G587" s="139">
        <v>122.4</v>
      </c>
      <c r="H587" s="139">
        <v>123.5</v>
      </c>
      <c r="I587" s="139">
        <v>123.2</v>
      </c>
    </row>
    <row r="588" spans="2:13" ht="15.6">
      <c r="B588" s="36" t="s">
        <v>335</v>
      </c>
      <c r="F588" s="139">
        <v>121.8</v>
      </c>
      <c r="G588" s="139">
        <v>122.6</v>
      </c>
      <c r="H588" s="139">
        <v>122.6</v>
      </c>
      <c r="I588" s="139">
        <v>119.6</v>
      </c>
    </row>
    <row r="644" spans="1:13" ht="15.6">
      <c r="A644" s="59"/>
      <c r="B644" s="74" t="s">
        <v>443</v>
      </c>
      <c r="C644" s="59"/>
      <c r="D644" s="108" t="s">
        <v>444</v>
      </c>
      <c r="E644" s="59"/>
      <c r="F644" s="59"/>
      <c r="G644" s="59"/>
      <c r="H644" s="59"/>
      <c r="I644" s="59"/>
      <c r="J644" s="59"/>
      <c r="K644" s="59"/>
      <c r="L644" s="59"/>
      <c r="M644" s="59"/>
    </row>
    <row r="646" spans="1:13">
      <c r="C646" s="163" t="s">
        <v>348</v>
      </c>
      <c r="D646" s="163"/>
      <c r="E646" s="163" t="s">
        <v>350</v>
      </c>
      <c r="F646" s="163"/>
    </row>
    <row r="647" spans="1:13">
      <c r="B647" s="149" t="s">
        <v>347</v>
      </c>
      <c r="C647" s="163" t="s">
        <v>349</v>
      </c>
      <c r="D647" s="163"/>
      <c r="E647" s="163" t="s">
        <v>351</v>
      </c>
      <c r="F647" s="163"/>
    </row>
    <row r="648" spans="1:13">
      <c r="B648" s="147" t="s">
        <v>345</v>
      </c>
      <c r="C648" s="148">
        <v>122.411998</v>
      </c>
      <c r="E648" s="172">
        <v>10.79</v>
      </c>
      <c r="F648" s="172"/>
    </row>
    <row r="649" spans="1:13">
      <c r="B649" s="147" t="s">
        <v>346</v>
      </c>
      <c r="C649" s="148">
        <v>122.05110999999999</v>
      </c>
      <c r="E649" s="172">
        <v>10.83</v>
      </c>
      <c r="F649" s="172"/>
    </row>
    <row r="651" spans="1:13" ht="15.6">
      <c r="A651" s="175"/>
      <c r="B651" s="176" t="s">
        <v>370</v>
      </c>
      <c r="C651" s="175"/>
      <c r="D651" s="175" t="s">
        <v>445</v>
      </c>
      <c r="E651" s="175"/>
      <c r="F651" s="175"/>
      <c r="G651" s="175"/>
      <c r="H651" s="175"/>
      <c r="I651" s="175"/>
      <c r="J651" s="175"/>
      <c r="K651" s="175"/>
      <c r="L651" s="175"/>
      <c r="M651" s="175"/>
    </row>
    <row r="654" spans="1:13" ht="15.6">
      <c r="A654" s="59"/>
      <c r="B654" s="74" t="s">
        <v>443</v>
      </c>
      <c r="C654" s="59"/>
      <c r="D654" s="108" t="s">
        <v>446</v>
      </c>
      <c r="E654" s="59"/>
      <c r="F654" s="59"/>
      <c r="G654" s="59"/>
      <c r="H654" s="59"/>
      <c r="I654" s="59"/>
      <c r="J654" s="59"/>
      <c r="K654" s="59"/>
      <c r="L654" s="59"/>
      <c r="M654" s="59"/>
    </row>
    <row r="655" spans="1:13" ht="15.6">
      <c r="A655" s="181"/>
      <c r="B655" s="185"/>
      <c r="C655" s="181"/>
      <c r="D655" s="180"/>
      <c r="E655" s="181"/>
      <c r="F655" s="181"/>
      <c r="G655" s="181"/>
      <c r="H655" s="181"/>
      <c r="I655" s="181"/>
      <c r="J655" s="181"/>
      <c r="K655" s="181"/>
      <c r="L655" s="181"/>
      <c r="M655" s="181"/>
    </row>
    <row r="656" spans="1:13" ht="15.6">
      <c r="A656" s="175"/>
      <c r="B656" s="176" t="s">
        <v>370</v>
      </c>
      <c r="C656" s="175"/>
      <c r="D656" s="175" t="s">
        <v>447</v>
      </c>
      <c r="E656" s="175"/>
      <c r="F656" s="175"/>
      <c r="G656" s="175"/>
      <c r="H656" s="175"/>
      <c r="I656" s="175"/>
      <c r="J656" s="175"/>
      <c r="K656" s="175"/>
      <c r="L656" s="175"/>
      <c r="M656" s="175"/>
    </row>
    <row r="657" spans="1:23" ht="15.6">
      <c r="A657" s="179"/>
      <c r="B657" s="186"/>
      <c r="C657" s="179"/>
      <c r="D657" s="175" t="s">
        <v>448</v>
      </c>
      <c r="E657" s="179"/>
      <c r="F657" s="179"/>
      <c r="G657" s="179"/>
      <c r="H657" s="179"/>
      <c r="I657" s="179"/>
      <c r="J657" s="179"/>
      <c r="K657" s="179"/>
      <c r="L657" s="179"/>
      <c r="M657" s="179"/>
    </row>
    <row r="658" spans="1:23" ht="16.8">
      <c r="V658" s="68"/>
      <c r="W658" s="79"/>
    </row>
    <row r="659" spans="1:23" ht="16.8">
      <c r="C659" s="170" t="s">
        <v>353</v>
      </c>
      <c r="D659" s="170"/>
      <c r="V659" s="68"/>
      <c r="W659" s="68"/>
    </row>
    <row r="660" spans="1:23" ht="16.8">
      <c r="B660" s="127" t="s">
        <v>352</v>
      </c>
      <c r="C660" s="170" t="s">
        <v>354</v>
      </c>
      <c r="D660" s="170"/>
      <c r="F660" s="185"/>
      <c r="G660" s="185"/>
      <c r="H660" s="185"/>
      <c r="I660" s="185"/>
      <c r="J660" s="185"/>
      <c r="K660" s="185"/>
      <c r="L660" s="185"/>
      <c r="M660" s="185"/>
      <c r="N660" s="181"/>
      <c r="W660" s="69"/>
    </row>
    <row r="661" spans="1:23" ht="16.8">
      <c r="A661" s="168" t="s">
        <v>289</v>
      </c>
      <c r="B661" s="168"/>
      <c r="C661" s="169">
        <v>5573917.2000000002</v>
      </c>
      <c r="D661" s="169"/>
      <c r="F661" s="185"/>
      <c r="G661" s="185"/>
      <c r="H661" s="185"/>
      <c r="I661" s="185"/>
      <c r="J661" s="185"/>
      <c r="K661" s="185"/>
      <c r="L661" s="185"/>
      <c r="M661" s="185"/>
      <c r="N661" s="181"/>
      <c r="W661" s="69"/>
    </row>
    <row r="662" spans="1:23" ht="16.8">
      <c r="A662" s="168" t="s">
        <v>290</v>
      </c>
      <c r="B662" s="168"/>
      <c r="C662" s="169">
        <v>3773950.9</v>
      </c>
      <c r="D662" s="169"/>
      <c r="F662" s="185"/>
      <c r="G662" s="185"/>
      <c r="H662" s="185"/>
      <c r="I662" s="185"/>
      <c r="J662" s="185"/>
      <c r="K662" s="185"/>
      <c r="L662" s="185"/>
      <c r="M662" s="185"/>
      <c r="N662" s="181"/>
      <c r="W662" s="69"/>
    </row>
    <row r="663" spans="1:23" ht="16.8">
      <c r="A663" s="168" t="s">
        <v>293</v>
      </c>
      <c r="B663" s="168"/>
      <c r="C663" s="169">
        <v>2035558</v>
      </c>
      <c r="D663" s="169"/>
      <c r="F663" s="185"/>
      <c r="G663" s="185"/>
      <c r="H663" s="185"/>
      <c r="I663" s="185"/>
      <c r="J663" s="185"/>
      <c r="K663" s="185"/>
      <c r="L663" s="185"/>
      <c r="M663" s="185"/>
      <c r="N663" s="181"/>
      <c r="W663" s="69"/>
    </row>
    <row r="664" spans="1:23" ht="16.8">
      <c r="A664" s="168" t="s">
        <v>294</v>
      </c>
      <c r="B664" s="168"/>
      <c r="C664" s="169">
        <v>1980839.7</v>
      </c>
      <c r="D664" s="169"/>
      <c r="W664" s="69"/>
    </row>
    <row r="665" spans="1:23" ht="16.8">
      <c r="A665" s="168" t="s">
        <v>292</v>
      </c>
      <c r="B665" s="168"/>
      <c r="C665" s="169">
        <v>1900530.4</v>
      </c>
      <c r="D665" s="169"/>
      <c r="W665" s="69"/>
    </row>
    <row r="666" spans="1:23" ht="16.8">
      <c r="A666" s="168" t="s">
        <v>291</v>
      </c>
      <c r="B666" s="168"/>
      <c r="C666" s="169">
        <v>1868712.4</v>
      </c>
      <c r="D666" s="169"/>
      <c r="W666" s="69"/>
    </row>
    <row r="667" spans="1:23" ht="16.8">
      <c r="A667" s="168" t="s">
        <v>295</v>
      </c>
      <c r="B667" s="168"/>
      <c r="C667" s="169">
        <v>1708979.2</v>
      </c>
      <c r="D667" s="169"/>
      <c r="W667" s="69"/>
    </row>
    <row r="668" spans="1:23" ht="16.8">
      <c r="A668" s="168" t="s">
        <v>300</v>
      </c>
      <c r="B668" s="168"/>
      <c r="C668" s="169">
        <v>1222478.3999999999</v>
      </c>
      <c r="D668" s="169"/>
      <c r="W668" s="69"/>
    </row>
    <row r="669" spans="1:23" ht="16.8">
      <c r="A669" s="168" t="s">
        <v>301</v>
      </c>
      <c r="B669" s="168"/>
      <c r="C669" s="169">
        <v>1161120.8999999999</v>
      </c>
      <c r="D669" s="169"/>
      <c r="W669" s="69"/>
    </row>
    <row r="670" spans="1:23" ht="16.8">
      <c r="A670" s="168" t="s">
        <v>302</v>
      </c>
      <c r="B670" s="168"/>
      <c r="C670" s="169">
        <v>1108235.7</v>
      </c>
      <c r="D670" s="169"/>
      <c r="W670" s="69"/>
    </row>
  </sheetData>
  <mergeCells count="79">
    <mergeCell ref="C659:D659"/>
    <mergeCell ref="C660:D660"/>
    <mergeCell ref="C343:L343"/>
    <mergeCell ref="C366:L366"/>
    <mergeCell ref="C666:D666"/>
    <mergeCell ref="C647:D647"/>
    <mergeCell ref="E646:F646"/>
    <mergeCell ref="E647:F647"/>
    <mergeCell ref="E648:F648"/>
    <mergeCell ref="E649:F649"/>
    <mergeCell ref="F512:I512"/>
    <mergeCell ref="F513:I513"/>
    <mergeCell ref="F503:I503"/>
    <mergeCell ref="F504:I504"/>
    <mergeCell ref="J503:M503"/>
    <mergeCell ref="C667:D667"/>
    <mergeCell ref="C668:D668"/>
    <mergeCell ref="C669:D669"/>
    <mergeCell ref="C670:D670"/>
    <mergeCell ref="C661:D661"/>
    <mergeCell ref="C662:D662"/>
    <mergeCell ref="C663:D663"/>
    <mergeCell ref="C664:D664"/>
    <mergeCell ref="C665:D665"/>
    <mergeCell ref="A666:B666"/>
    <mergeCell ref="A667:B667"/>
    <mergeCell ref="A668:B668"/>
    <mergeCell ref="A669:B669"/>
    <mergeCell ref="A670:B670"/>
    <mergeCell ref="A661:B661"/>
    <mergeCell ref="A662:B662"/>
    <mergeCell ref="A663:B663"/>
    <mergeCell ref="A664:B664"/>
    <mergeCell ref="A665:B665"/>
    <mergeCell ref="Q563:T563"/>
    <mergeCell ref="P564:S564"/>
    <mergeCell ref="Q565:T565"/>
    <mergeCell ref="V564:Y564"/>
    <mergeCell ref="C646:D646"/>
    <mergeCell ref="F574:I574"/>
    <mergeCell ref="J574:M574"/>
    <mergeCell ref="F582:I582"/>
    <mergeCell ref="F583:I583"/>
    <mergeCell ref="F573:I573"/>
    <mergeCell ref="J573:M573"/>
    <mergeCell ref="J504:M504"/>
    <mergeCell ref="F424:G424"/>
    <mergeCell ref="F425:G425"/>
    <mergeCell ref="F426:G426"/>
    <mergeCell ref="F427:G427"/>
    <mergeCell ref="F379:G379"/>
    <mergeCell ref="F380:G380"/>
    <mergeCell ref="F376:G376"/>
    <mergeCell ref="H376:I376"/>
    <mergeCell ref="F423:G423"/>
    <mergeCell ref="H423:I423"/>
    <mergeCell ref="F377:G377"/>
    <mergeCell ref="F378:G378"/>
    <mergeCell ref="F293:G293"/>
    <mergeCell ref="F294:G294"/>
    <mergeCell ref="F295:G295"/>
    <mergeCell ref="F305:G305"/>
    <mergeCell ref="H296:I296"/>
    <mergeCell ref="H297:I297"/>
    <mergeCell ref="H298:I298"/>
    <mergeCell ref="H299:I299"/>
    <mergeCell ref="H295:I295"/>
    <mergeCell ref="H23:K23"/>
    <mergeCell ref="H52:K52"/>
    <mergeCell ref="D33:J33"/>
    <mergeCell ref="G201:J201"/>
    <mergeCell ref="C252:J252"/>
    <mergeCell ref="G177:J177"/>
    <mergeCell ref="G122:I122"/>
    <mergeCell ref="Q188:R188"/>
    <mergeCell ref="Q189:R189"/>
    <mergeCell ref="R184:U184"/>
    <mergeCell ref="Q186:R186"/>
    <mergeCell ref="Q187:R187"/>
  </mergeCells>
  <phoneticPr fontId="11" type="noConversion"/>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 D</cp:lastModifiedBy>
  <dcterms:created xsi:type="dcterms:W3CDTF">2020-03-05T18:09:11Z</dcterms:created>
  <dcterms:modified xsi:type="dcterms:W3CDTF">2025-04-13T18:36:53Z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